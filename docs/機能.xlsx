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735ee86cc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紙" sheetId="1" r:id="R01e2c3304dad4c9e"/>
    <x:sheet xmlns:r="http://schemas.openxmlformats.org/officeDocument/2006/relationships" name="テスト方針" sheetId="2" r:id="R54df59cbf6ba41de"/>
    <x:sheet xmlns:r="http://schemas.openxmlformats.org/officeDocument/2006/relationships" name="テストケース一覧" sheetId="3" r:id="R4bfad9d11fd9478f"/>
    <x:sheet xmlns:r="http://schemas.openxmlformats.org/officeDocument/2006/relationships" name="テストデータ" sheetId="4" r:id="Rcecd8d3adc3244c8"/>
    <x:sheet xmlns:r="http://schemas.openxmlformats.org/officeDocument/2006/relationships" name="仕様確認事項" sheetId="5" r:id="R3ae3e1e69b9348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"/>
  </x:numFmts>
  <x:fonts count="1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10"/>
      <x:color rgb="FF222222"/>
      <x:name val="Carlito"/>
    </x:font>
    <x:font>
      <x:b/>
      <x:sz val="11"/>
      <x:color rgb="FFFFFFFF"/>
      <x:name val="Carlito"/>
    </x:font>
    <x:font>
      <x:b/>
      <x:sz val="10"/>
      <x:color rgb="FF222222"/>
      <x:name val="Carlito"/>
    </x:font>
    <x:font>
      <x:b/>
      <x:sz val="10"/>
      <x:color rgb="FFFFFFFF"/>
      <x:name val="Carlito"/>
    </x:font>
    <x:font>
      <x:b/>
      <x:sz val="10"/>
      <x:color rgb="FF17365D"/>
      <x:name val="Carlito"/>
    </x:font>
    <x:font>
      <x:b/>
      <x:sz val="16"/>
      <x:color rgb="FFFFFFFF"/>
      <x:name val="Yu Gothic"/>
    </x:font>
    <x:font>
      <x:sz val="11"/>
      <x:name val="Yu Gothic"/>
    </x:font>
    <x:font>
      <x:b/>
      <x:sz val="11"/>
      <x:color rgb="FF17365D"/>
      <x:name val="Yu Gothic"/>
    </x:font>
    <x:font>
      <x:sz val="10"/>
      <x:color rgb="FF222222"/>
      <x:name val="Yu Gothic"/>
    </x:font>
    <x:font>
      <x:b/>
      <x:sz val="11"/>
      <x:color rgb="FFFFFFFF"/>
      <x:name val="Yu Gothic"/>
    </x:font>
    <x:font>
      <x:b/>
      <x:sz val="10"/>
      <x:color rgb="FFFFFFFF"/>
      <x:name val="Yu Gothic"/>
    </x:font>
    <x:font>
      <x:b/>
      <x:sz val="10"/>
      <x:color rgb="FF222222"/>
      <x:name val="Yu Gothic"/>
    </x:font>
    <x:font>
      <x:b/>
      <x:sz val="10"/>
      <x:color rgb="FF17365D"/>
      <x:name val="Yu Gothic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6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3" xfId="0" applyNumberFormat="1" applyFont="1" applyFill="1" applyBorder="1" applyAlignment="1">
      <x:alignment horizontal="left"/>
    </x:xf>
    <x:xf numFmtId="0" fontId="4" fillId="4" borderId="4" xfId="0" applyNumberFormat="1" applyFont="1" applyFill="1" applyBorder="1" applyAlignment="1">
      <x:alignment horizontal="left"/>
    </x:xf>
    <x:xf numFmtId="0" fontId="4" fillId="4" borderId="5" xfId="0" applyNumberFormat="1" applyFont="1" applyFill="1" applyBorder="1" applyAlignment="1">
      <x:alignment horizontal="left"/>
    </x:xf>
    <x:xf numFmtId="0" fontId="4" fillId="4" borderId="3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5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top" wrapText="1"/>
    </x:xf>
    <x:xf numFmtId="0" fontId="6" fillId="2" borderId="2" xfId="0" applyNumberFormat="1" applyFont="1" applyFill="1" applyBorder="1" applyAlignment="1">
      <x:alignment horizontal="center" vertical="top" wrapText="1"/>
    </x:xf>
    <x:xf numFmtId="0" fontId="6" fillId="2" borderId="1" xfId="0" applyNumberFormat="1" applyFont="1" applyFill="1" applyBorder="1" applyAlignment="1">
      <x:alignment horizontal="center"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vertical="top" wrapText="1"/>
    </x:xf>
    <x:xf numFmtId="0" fontId="7" fillId="8" borderId="2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201" fontId="3" fillId="0" borderId="2" xfId="0" applyNumberFormat="1" applyFont="1" applyFill="1" applyBorder="1" applyAlignment="1">
      <x:alignment vertical="top" wrapText="1"/>
    </x:xf>
    <x:xf numFmtId="202" fontId="3" fillId="0" borderId="2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top" wrapText="1"/>
    </x:xf>
    <x:xf numFmtId="200" fontId="11" fillId="0" borderId="2" xfId="0" applyNumberFormat="1" applyFont="1" applyFill="1" applyBorder="1" applyAlignment="1">
      <x:alignment vertical="top" wrapText="1"/>
    </x:xf>
    <x:xf numFmtId="0" fontId="12" fillId="4" borderId="3" xfId="0" applyNumberFormat="1" applyFont="1" applyFill="1" applyBorder="1" applyAlignment="1">
      <x:alignment horizontal="left" vertical="center"/>
    </x:xf>
    <x:xf numFmtId="0" fontId="12" fillId="4" borderId="4" xfId="0" applyNumberFormat="1" applyFont="1" applyFill="1" applyBorder="1" applyAlignment="1">
      <x:alignment horizontal="left" vertical="center"/>
    </x:xf>
    <x:xf numFmtId="0" fontId="12" fillId="4" borderId="5" xfId="0" applyNumberFormat="1" applyFont="1" applyFill="1" applyBorder="1" applyAlignment="1">
      <x:alignment horizontal="left" vertical="center"/>
    </x:xf>
    <x:xf numFmtId="0" fontId="13" fillId="2" borderId="1" xfId="0" applyNumberFormat="1" applyFont="1" applyFill="1" applyBorder="1" applyAlignment="1">
      <x:alignment horizontal="center" vertical="top" wrapText="1"/>
    </x:xf>
    <x:xf numFmtId="0" fontId="11" fillId="5" borderId="2" xfId="0" applyNumberFormat="1" applyFont="1" applyFill="1" applyBorder="1" applyAlignment="1">
      <x:alignment vertical="top" wrapText="1"/>
    </x:xf>
    <x:xf numFmtId="0" fontId="11" fillId="6" borderId="2" xfId="0" applyNumberFormat="1" applyFont="1" applyFill="1" applyBorder="1" applyAlignment="1">
      <x:alignment vertical="top" wrapText="1"/>
    </x:xf>
    <x:xf numFmtId="0" fontId="11" fillId="7" borderId="2" xfId="0" applyNumberFormat="1" applyFont="1" applyFill="1" applyBorder="1" applyAlignment="1">
      <x:alignment vertical="top" wrapText="1"/>
    </x:xf>
    <x:xf numFmtId="0" fontId="14" fillId="2" borderId="2" xfId="0" applyNumberFormat="1" applyFont="1" applyFill="1" applyBorder="1" applyAlignment="1">
      <x:alignment horizontal="center" vertical="top" wrapText="1"/>
    </x:xf>
    <x:xf numFmtId="0" fontId="15" fillId="3" borderId="1" xfId="0" applyNumberFormat="1" applyFont="1" applyFill="1" applyBorder="1" applyAlignment="1">
      <x:alignment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5" fillId="8" borderId="1" xfId="0" applyNumberFormat="1" applyFont="1" applyFill="1" applyBorder="1" applyAlignment="1">
      <x:alignment horizontal="center" vertical="top" wrapText="1"/>
    </x:xf>
    <x:xf numFmtId="0" fontId="11" fillId="0" borderId="2" xfId="0" applyNumberFormat="1" applyFont="1" applyFill="1" applyBorder="1" applyAlignment="1">
      <x:alignment horizontal="center" vertical="top" wrapText="1"/>
    </x:xf>
    <x:xf numFmtId="201" fontId="11" fillId="0" borderId="2" xfId="0" applyNumberFormat="1" applyFont="1" applyFill="1" applyBorder="1" applyAlignment="1">
      <x:alignment vertical="top" wrapText="1"/>
    </x:xf>
    <x:xf numFmtId="202" fontId="11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3" xfId="0" applyNumberFormat="1" applyFont="1" applyFill="1" applyBorder="1"/>
    <x:xf numFmtId="0" fontId="4" fillId="11" borderId="4" xfId="0" applyNumberFormat="1" applyFont="1" applyFill="1" applyBorder="1"/>
    <x:xf numFmtId="0" fontId="4" fillId="11" borderId="5" xfId="0" applyNumberFormat="1" applyFont="1" applyFill="1" applyBorder="1"/>
    <x:xf numFmtId="0" fontId="4" fillId="11" borderId="3" xfId="0" applyNumberFormat="1" applyFont="1" applyFill="1" applyBorder="1" applyAlignment="1">
      <x:alignment horizontal="left"/>
    </x:xf>
    <x:xf numFmtId="0" fontId="4" fillId="11" borderId="4" xfId="0" applyNumberFormat="1" applyFont="1" applyFill="1" applyBorder="1" applyAlignment="1">
      <x:alignment horizontal="left"/>
    </x:xf>
    <x:xf numFmtId="0" fontId="4" fillId="11" borderId="5" xfId="0" applyNumberFormat="1" applyFont="1" applyFill="1" applyBorder="1" applyAlignment="1">
      <x:alignment horizontal="left"/>
    </x:xf>
    <x:xf numFmtId="0" fontId="4" fillId="11" borderId="3" xfId="0" applyNumberFormat="1" applyFont="1" applyFill="1" applyBorder="1" applyAlignment="1">
      <x:alignment horizontal="left" vertical="center"/>
    </x:xf>
    <x:xf numFmtId="0" fontId="4" fillId="11" borderId="4" xfId="0" applyNumberFormat="1" applyFont="1" applyFill="1" applyBorder="1" applyAlignment="1">
      <x:alignment horizontal="left" vertical="center"/>
    </x:xf>
    <x:xf numFmtId="0" fontId="4" fillId="11" borderId="5" xfId="0" applyNumberFormat="1" applyFont="1" applyFill="1" applyBorder="1" applyAlignment="1">
      <x:alignment horizontal="left" vertical="center"/>
    </x:xf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horizont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3" fillId="12" borderId="2" xfId="0" applyNumberFormat="1" applyFont="1" applyFill="1" applyBorder="1" applyAlignment="1">
      <x:alignment vertical="top" wrapText="1"/>
    </x:xf>
    <x:xf numFmtId="0" fontId="3" fillId="13" borderId="2" xfId="0" applyNumberFormat="1" applyFont="1" applyFill="1" applyBorder="1" applyAlignment="1">
      <x:alignment vertical="top" wrapText="1"/>
    </x:xf>
    <x:xf numFmtId="0" fontId="3" fillId="14" borderId="2" xfId="0" applyNumberFormat="1" applyFont="1" applyFill="1" applyBorder="1" applyAlignment="1">
      <x:alignment vertical="top" wrapText="1"/>
    </x:xf>
    <x:xf numFmtId="0" fontId="3" fillId="15" borderId="2" xfId="0" applyNumberFormat="1" applyFont="1" applyFill="1" applyBorder="1" applyAlignment="1">
      <x:alignment vertical="top" wrapText="1"/>
    </x:xf>
    <x:xf numFmtId="0" fontId="7" fillId="15" borderId="2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horizontal="center" vertical="top" wrapText="1"/>
    </x:xf>
    <x:xf numFmtId="0" fontId="2" fillId="10" borderId="1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horizontal="left" vertical="center"/>
    </x:xf>
    <x:xf numFmtId="0" fontId="10" fillId="10" borderId="1" xfId="0" applyNumberFormat="1" applyFont="1" applyFill="1" applyBorder="1" applyAlignment="1">
      <x:alignment vertical="center"/>
    </x:xf>
    <x:xf numFmtId="0" fontId="12" fillId="11" borderId="3" xfId="0" applyNumberFormat="1" applyFont="1" applyFill="1" applyBorder="1" applyAlignment="1">
      <x:alignment horizontal="left" vertical="center"/>
    </x:xf>
    <x:xf numFmtId="0" fontId="12" fillId="11" borderId="4" xfId="0" applyNumberFormat="1" applyFont="1" applyFill="1" applyBorder="1" applyAlignment="1">
      <x:alignment horizontal="left" vertical="center"/>
    </x:xf>
    <x:xf numFmtId="0" fontId="12" fillId="11" borderId="5" xfId="0" applyNumberFormat="1" applyFont="1" applyFill="1" applyBorder="1" applyAlignment="1">
      <x:alignment horizontal="left" vertical="center"/>
    </x:xf>
    <x:xf numFmtId="0" fontId="12" fillId="9" borderId="1" xfId="0" applyNumberFormat="1" applyFont="1" applyFill="1" applyBorder="1" applyAlignment="1">
      <x:alignment horizontal="center" vertical="center" wrapText="1"/>
    </x:xf>
    <x:xf numFmtId="0" fontId="11" fillId="12" borderId="2" xfId="0" applyNumberFormat="1" applyFont="1" applyFill="1" applyBorder="1" applyAlignment="1">
      <x:alignment vertical="top" wrapText="1"/>
    </x:xf>
    <x:xf numFmtId="0" fontId="11" fillId="13" borderId="2" xfId="0" applyNumberFormat="1" applyFont="1" applyFill="1" applyBorder="1" applyAlignment="1">
      <x:alignment vertical="top" wrapText="1"/>
    </x:xf>
    <x:xf numFmtId="0" fontId="11" fillId="14" borderId="2" xfId="0" applyNumberFormat="1" applyFont="1" applyFill="1" applyBorder="1" applyAlignment="1">
      <x:alignment vertical="top" wrapText="1"/>
    </x:xf>
    <x:xf numFmtId="0" fontId="15" fillId="15" borderId="1" xfId="0" applyNumberFormat="1" applyFont="1" applyFill="1" applyBorder="1" applyAlignment="1">
      <x:alignment horizontal="center" vertical="top" wrapText="1"/>
    </x:xf>
    <x:xf numFmtId="0" fontId="10" fillId="1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78b48714d49ee" /><Relationship Type="http://schemas.openxmlformats.org/officeDocument/2006/relationships/theme" Target="/xl/theme/theme1.xml" Id="R247a9d6929e84b8d" /><Relationship Type="http://schemas.openxmlformats.org/officeDocument/2006/relationships/sharedStrings" Target="/xl/sharedStrings.xml" Id="R197f44006d0e49ac" /><Relationship Type="http://schemas.openxmlformats.org/officeDocument/2006/relationships/worksheet" Target="/xl/worksheets/sheet1.xml" Id="R01e2c3304dad4c9e" /><Relationship Type="http://schemas.openxmlformats.org/officeDocument/2006/relationships/worksheet" Target="/xl/worksheets/sheet2.xml" Id="R54df59cbf6ba41de" /><Relationship Type="http://schemas.openxmlformats.org/officeDocument/2006/relationships/worksheet" Target="/xl/worksheets/sheet3.xml" Id="R4bfad9d11fd9478f" /><Relationship Type="http://schemas.openxmlformats.org/officeDocument/2006/relationships/worksheet" Target="/xl/worksheets/sheet4.xml" Id="Rcecd8d3adc3244c8" /><Relationship Type="http://schemas.openxmlformats.org/officeDocument/2006/relationships/worksheet" Target="/xl/worksheets/sheet5.xml" Id="R3ae3e1e69b934844" /></Relationships>
</file>

<file path=xl/tables/table1.xml><?xml version="1.0" encoding="utf-8"?>
<x:table xmlns:x="http://schemas.openxmlformats.org/spreadsheetml/2006/main" id="1" name="FunctionalTestCasesTable" displayName="FunctionalTestCasesTable" ref="A3:K24" headerRowCount="1" totalsRowCount="0" totalsRowShown="0">
  <x:autoFilter ref="A3:K24"/>
  <x:tableColumns count="11">
    <x:tableColumn id="1" name="No."/>
    <x:tableColumn id="2" name="大項目"/>
    <x:tableColumn id="3" name="テスト観点"/>
    <x:tableColumn id="4" name="テストデータID"/>
    <x:tableColumn id="5" name="前提条件"/>
    <x:tableColumn id="6" name="実施手順"/>
    <x:tableColumn id="7" name="期待結果"/>
    <x:tableColumn id="8" name="実施結果"/>
    <x:tableColumn id="9" name="判定"/>
    <x:tableColumn id="10" name="エビデンス"/>
    <x:tableColumn id="11" name="備考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FunctionalThresholdDataTable" displayName="FunctionalThresholdDataTable" ref="A7:R22" headerRowCount="1" totalsRowCount="0" totalsRowShown="0">
  <x:autoFilter ref="A7:R22"/>
  <x:tableColumns count="18">
    <x:tableColumn id="1" name="データID"/>
    <x:tableColumn id="2" name="対応ケース"/>
    <x:tableColumn id="3" name="series_name"/>
    <x:tableColumn id="4" name="gas_type"/>
    <x:tableColumn id="5" name="err_code"/>
    <x:tableColumn id="6" name="確認観点"/>
    <x:tableColumn id="7" name="設定理由"/>
    <x:tableColumn id="8" name="閾値A"/>
    <x:tableColumn id="9" name="閾値B"/>
    <x:tableColumn id="10" name="閾値C"/>
    <x:tableColumn id="11" name="閾値D"/>
    <x:tableColumn id="12" name="判定日件数"/>
    <x:tableColumn id="13" name="過去7日平均"/>
    <x:tableColumn id="14" name="急増倍率基準値（平均×C）"/>
    <x:tableColumn id="15" name="増加件数（判定日－平均）"/>
    <x:tableColumn id="16" name="期待alert_type"/>
    <x:tableColumn id="17" name="期待is_alert"/>
    <x:tableColumn id="18" name="期待結果の説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erationalTestDataTable" displayName="OperationalTestDataTable" ref="A26:H32" headerRowCount="1" totalsRowCount="0" totalsRowShown="0">
  <x:autoFilter ref="A26:H32"/>
  <x:tableColumns count="8">
    <x:tableColumn id="1" name="データID"/>
    <x:tableColumn id="2" name="対応ケース"/>
    <x:tableColumn id="3" name="実行日（JST）"/>
    <x:tableColumn id="4" name="判定対象日"/>
    <x:tableColumn id="5" name="再計算対象期間"/>
    <x:tableColumn id="6" name="入力・事前状態"/>
    <x:tableColumn id="7" name="確認観点"/>
    <x:tableColumn id="8" name="期待結果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FunctionalSpecificationQuestionsTable" displayName="FunctionalSpecificationQuestionsTable" ref="A3:G9" headerRowCount="1" totalsRowCount="0" totalsRowShown="0">
  <x:autoFilter ref="A3:G9"/>
  <x:tableColumns count="7">
    <x:tableColumn id="1" name="No."/>
    <x:tableColumn id="2" name="分類"/>
    <x:tableColumn id="3" name="機能試験前に確認する事項"/>
    <x:tableColumn id="4" name="現行コードから読み取れる動作"/>
    <x:tableColumn id="5" name="機能試験への影響"/>
    <x:tableColumn id="6" name="確認結果"/>
    <x:tableColumn id="7" name="対応方針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86cb1e70faf4f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38b12989f47460f" /><Relationship Type="http://schemas.openxmlformats.org/officeDocument/2006/relationships/table" Target="/xl/tables/table3.xml" Id="Rf60edbd727f543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ab247cace648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6" hidden="0" customWidth="1"/>
    <x:col min="3" max="3" width="52" hidden="0" customWidth="1"/>
    <x:col min="4" max="4" width="18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103" t="str">
        <x:v>エラー傾向監視アラート処理　機能試験仕様書兼結果報告書</x:v>
      </x:c>
      <x:c r="B1" s="52"/>
      <x:c r="C1" s="52"/>
      <x:c r="D1" s="52"/>
      <x:c r="E1" s="52"/>
      <x:c r="F1" s="52"/>
      <x:c r="G1" s="52"/>
      <x:c r="H1" s="52"/>
    </x:row>
    <x:row r="2" ht="32" customHeight="1">
      <x:c r="A2" s="52"/>
      <x:c r="B2" s="52"/>
      <x:c r="C2" s="52"/>
      <x:c r="D2" s="52"/>
      <x:c r="E2" s="52"/>
      <x:c r="F2" s="52"/>
      <x:c r="G2" s="52"/>
      <x:c r="H2" s="52"/>
    </x:row>
    <x:row r="3">
      <x:c r="A3" s="52"/>
      <x:c r="B3" s="52"/>
      <x:c r="C3" s="52"/>
      <x:c r="D3" s="52"/>
      <x:c r="E3" s="52"/>
      <x:c r="F3" s="52"/>
      <x:c r="G3" s="52"/>
      <x:c r="H3" s="52"/>
    </x:row>
    <x:row r="4" ht="30" customHeight="1">
      <x:c r="A4" s="104" t="str">
        <x:v>文書名</x:v>
      </x:c>
      <x:c r="B4" s="54" t="str">
        <x:v>機能試験仕様書兼結果報告書</x:v>
      </x:c>
      <x:c r="C4" s="52"/>
      <x:c r="D4" s="52"/>
      <x:c r="E4" s="52"/>
      <x:c r="F4" s="52"/>
      <x:c r="G4" s="52"/>
      <x:c r="H4" s="52"/>
    </x:row>
    <x:row r="5" ht="30" customHeight="1">
      <x:c r="A5" s="104" t="str">
        <x:v>対象機能</x:v>
      </x:c>
      <x:c r="B5" s="54" t="str">
        <x:v>エラー傾向監視アラート判定・再計算処理</x:v>
      </x:c>
      <x:c r="C5" s="52"/>
      <x:c r="D5" s="52"/>
      <x:c r="E5" s="52"/>
      <x:c r="F5" s="52"/>
      <x:c r="G5" s="52"/>
      <x:c r="H5" s="52"/>
    </x:row>
    <x:row r="6" ht="30" customHeight="1">
      <x:c r="A6" s="104" t="str">
        <x:v>試験対象</x:v>
      </x:c>
      <x:c r="B6" s="54" t="str">
        <x:v>バッチ実行から結果テーブル・ログ確認まで（関数単位・pytestは対象外）</x:v>
      </x:c>
      <x:c r="C6" s="52"/>
      <x:c r="D6" s="52"/>
      <x:c r="E6" s="52"/>
      <x:c r="F6" s="52"/>
      <x:c r="G6" s="52"/>
      <x:c r="H6" s="52"/>
    </x:row>
    <x:row r="7" ht="30" customHeight="1">
      <x:c r="A7" s="104" t="str">
        <x:v>作成日</x:v>
      </x:c>
      <x:c r="B7" s="55" t="n">
        <x:v>46267</x:v>
      </x:c>
      <x:c r="C7" s="52"/>
      <x:c r="D7" s="52"/>
      <x:c r="E7" s="52"/>
      <x:c r="F7" s="52"/>
      <x:c r="G7" s="52"/>
      <x:c r="H7" s="52"/>
    </x:row>
    <x:row r="8" ht="30" customHeight="1">
      <x:c r="A8" s="104" t="str">
        <x:v>作成者</x:v>
      </x:c>
      <x:c r="B8" s="54" t="str">
        <x:v>ジョ</x:v>
      </x:c>
      <x:c r="C8" s="52"/>
      <x:c r="D8" s="52"/>
      <x:c r="E8" s="52"/>
      <x:c r="F8" s="52"/>
      <x:c r="G8" s="52"/>
      <x:c r="H8" s="52"/>
    </x:row>
    <x:row r="9" ht="30" customHeight="1">
      <x:c r="A9" s="104" t="str">
        <x:v>版数</x:v>
      </x:c>
      <x:c r="B9" s="54" t="str">
        <x:v>1.1</x:v>
      </x:c>
      <x:c r="C9" s="52"/>
      <x:c r="D9" s="52"/>
      <x:c r="E9" s="52"/>
      <x:c r="F9" s="52"/>
      <x:c r="G9" s="52"/>
      <x:c r="H9" s="52"/>
    </x:row>
    <x:row r="10" ht="30" customHeight="1">
      <x:c r="A10" s="104" t="str">
        <x:v>テスト種別</x:v>
      </x:c>
      <x:c r="B10" s="54" t="str">
        <x:v>機能試験</x:v>
      </x:c>
      <x:c r="C10" s="52"/>
      <x:c r="D10" s="52"/>
      <x:c r="E10" s="52"/>
      <x:c r="F10" s="52"/>
      <x:c r="G10" s="52"/>
      <x:c r="H10" s="52"/>
    </x:row>
    <x:row r="11">
      <x:c r="A11" s="52"/>
      <x:c r="B11" s="52"/>
      <x:c r="C11" s="52"/>
      <x:c r="D11" s="52"/>
      <x:c r="E11" s="52"/>
      <x:c r="F11" s="52"/>
      <x:c r="G11" s="52"/>
      <x:c r="H11" s="52"/>
    </x:row>
    <x:row r="12">
      <x:c r="A12" s="105" t="str">
        <x:v>実施状況サマリー</x:v>
      </x:c>
      <x:c r="B12" s="106"/>
      <x:c r="C12" s="106"/>
      <x:c r="D12" s="106"/>
      <x:c r="E12" s="106"/>
      <x:c r="F12" s="106"/>
      <x:c r="G12" s="106"/>
      <x:c r="H12" s="107"/>
    </x:row>
    <x:row r="13">
      <x:c r="A13" s="52"/>
      <x:c r="B13" s="52"/>
      <x:c r="C13" s="52"/>
      <x:c r="D13" s="52"/>
      <x:c r="E13" s="52"/>
      <x:c r="F13" s="52"/>
      <x:c r="G13" s="52"/>
      <x:c r="H13" s="52"/>
    </x:row>
    <x:row r="14">
      <x:c r="A14" s="108" t="str">
        <x:v>項目</x:v>
      </x:c>
      <x:c r="B14" s="108" t="str">
        <x:v>件数</x:v>
      </x:c>
      <x:c r="C14" s="108" t="str">
        <x:v>説明</x:v>
      </x:c>
      <x:c r="D14" s="108" t="str">
        <x:v>判定基準</x:v>
      </x:c>
      <x:c r="E14" s="52"/>
      <x:c r="F14" s="52"/>
      <x:c r="G14" s="52"/>
      <x:c r="H14" s="52"/>
    </x:row>
    <x:row r="15">
      <x:c r="A15" s="54" t="str">
        <x:v>総テストケース</x:v>
      </x:c>
      <x:c r="B15" s="54" t="n">
        <x:f>COUNTA('テストケース一覧'!A4:A200)</x:f>
        <x:v>21</x:v>
      </x:c>
      <x:c r="C15" s="54" t="str">
        <x:v>機能試験ケースの登録件数</x:v>
      </x:c>
      <x:c r="D15" s="54" t="str">
        <x:v>―</x:v>
      </x:c>
      <x:c r="E15" s="52"/>
      <x:c r="F15" s="52"/>
      <x:c r="G15" s="52"/>
      <x:c r="H15" s="52"/>
    </x:row>
    <x:row r="16">
      <x:c r="A16" s="109" t="str">
        <x:v>OK</x:v>
      </x:c>
      <x:c r="B16" s="109" t="n">
        <x:f>COUNTIF('テストケース一覧'!I4:I200,"OK")</x:f>
        <x:v>0</x:v>
      </x:c>
      <x:c r="C16" s="109" t="str">
        <x:v>期待結果と実施結果が一致</x:v>
      </x:c>
      <x:c r="D16" s="109" t="str">
        <x:v>合格</x:v>
      </x:c>
      <x:c r="E16" s="52"/>
      <x:c r="F16" s="52"/>
      <x:c r="G16" s="52"/>
      <x:c r="H16" s="52"/>
    </x:row>
    <x:row r="17">
      <x:c r="A17" s="110" t="str">
        <x:v>NG</x:v>
      </x:c>
      <x:c r="B17" s="110" t="n">
        <x:f>COUNTIF('テストケース一覧'!I4:I200,"NG")</x:f>
        <x:v>0</x:v>
      </x:c>
      <x:c r="C17" s="110" t="str">
        <x:v>期待結果と実施結果が不一致</x:v>
      </x:c>
      <x:c r="D17" s="110" t="str">
        <x:v>要対応</x:v>
      </x:c>
      <x:c r="E17" s="52"/>
      <x:c r="F17" s="52"/>
      <x:c r="G17" s="52"/>
      <x:c r="H17" s="52"/>
    </x:row>
    <x:row r="18">
      <x:c r="A18" s="111" t="str">
        <x:v>未実施・その他</x:v>
      </x:c>
      <x:c r="B18" s="111" t="n">
        <x:f>B15-B16-B17</x:f>
        <x:v>21</x:v>
      </x:c>
      <x:c r="C18" s="111" t="str">
        <x:v>未実施または対象外</x:v>
      </x:c>
      <x:c r="D18" s="111" t="str">
        <x:v>未判定</x:v>
      </x:c>
      <x:c r="E18" s="52"/>
      <x:c r="F18" s="52"/>
      <x:c r="G18" s="52"/>
      <x:c r="H18" s="52"/>
    </x:row>
    <x:row r="19">
      <x:c r="A19" s="52"/>
      <x:c r="B19" s="52"/>
      <x:c r="C19" s="52"/>
      <x:c r="D19" s="52"/>
      <x:c r="E19" s="52"/>
      <x:c r="F19" s="52"/>
      <x:c r="G19" s="52"/>
      <x:c r="H19" s="52"/>
    </x:row>
    <x:row r="20">
      <x:c r="A20" s="105" t="str">
        <x:v>改訂履歴</x:v>
      </x:c>
      <x:c r="B20" s="106"/>
      <x:c r="C20" s="106"/>
      <x:c r="D20" s="106"/>
      <x:c r="E20" s="106"/>
      <x:c r="F20" s="106"/>
      <x:c r="G20" s="106"/>
      <x:c r="H20" s="107"/>
    </x:row>
    <x:row r="21">
      <x:c r="A21" s="52"/>
      <x:c r="B21" s="52"/>
      <x:c r="C21" s="52"/>
      <x:c r="D21" s="52"/>
      <x:c r="E21" s="52"/>
      <x:c r="F21" s="52"/>
      <x:c r="G21" s="52"/>
      <x:c r="H21" s="52"/>
    </x:row>
    <x:row r="22">
      <x:c r="A22" s="108" t="str">
        <x:v>版数</x:v>
      </x:c>
      <x:c r="B22" s="108" t="str">
        <x:v>改訂日</x:v>
      </x:c>
      <x:c r="C22" s="108" t="str">
        <x:v>改訂内容</x:v>
      </x:c>
      <x:c r="D22" s="108" t="str">
        <x:v>作成者</x:v>
      </x:c>
      <x:c r="E22" s="108" t="str">
        <x:v>承認者</x:v>
      </x:c>
      <x:c r="F22" s="52"/>
      <x:c r="G22" s="52"/>
      <x:c r="H22" s="52"/>
    </x:row>
    <x:row r="23" ht="42" customHeight="1">
      <x:c r="A23" s="54" t="str">
        <x:v>1.0</x:v>
      </x:c>
      <x:c r="B23" s="55" t="n">
        <x:v>46266</x:v>
      </x:c>
      <x:c r="C23" s="54" t="str">
        <x:v>初版（単体試験レベルを含む）</x:v>
      </x:c>
      <x:c r="D23" s="54" t="str">
        <x:v>ジョ</x:v>
      </x:c>
      <x:c r="E23" s="54" t="str"/>
      <x:c r="F23" s="52"/>
      <x:c r="G23" s="52"/>
      <x:c r="H23" s="52"/>
    </x:row>
    <x:row r="24" ht="42" customHeight="1">
      <x:c r="A24" s="54" t="str">
        <x:v>1.1</x:v>
      </x:c>
      <x:c r="B24" s="55" t="n">
        <x:v>46267</x:v>
      </x:c>
      <x:c r="C24" s="54" t="str">
        <x:v>レビュー指摘を反映し、機能試験レベルのみに再構成。テストデータの目的・設定理由・期待結果を明記</x:v>
      </x:c>
      <x:c r="D24" s="54" t="str">
        <x:v>ジョ</x:v>
      </x:c>
      <x:c r="E24" s="54" t="str"/>
      <x:c r="F24" s="52"/>
      <x:c r="G24" s="52"/>
      <x:c r="H24" s="52"/>
    </x:row>
  </x:sheetData>
  <x:mergeCells>
    <x:mergeCell ref="A1:H2"/>
    <x:mergeCell ref="A12:H12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0" hidden="0" customWidth="1"/>
    <x:col min="3" max="3" width="58" hidden="0" customWidth="1"/>
    <x:col min="4" max="4" width="3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103" t="str">
        <x:v>テスト方針・前提条件</x:v>
      </x:c>
      <x:c r="B1" s="52"/>
      <x:c r="C1" s="52"/>
      <x:c r="D1" s="52"/>
      <x:c r="E1" s="52"/>
      <x:c r="F1" s="52"/>
      <x:c r="G1" s="52"/>
      <x:c r="H1" s="52"/>
    </x:row>
    <x:row r="2" ht="32" customHeight="1">
      <x:c r="A2" s="52"/>
      <x:c r="B2" s="52"/>
      <x:c r="C2" s="52"/>
      <x:c r="D2" s="52"/>
      <x:c r="E2" s="52"/>
      <x:c r="F2" s="52"/>
      <x:c r="G2" s="52"/>
      <x:c r="H2" s="52"/>
    </x:row>
    <x:row r="3">
      <x:c r="A3" s="52"/>
      <x:c r="B3" s="52"/>
      <x:c r="C3" s="52"/>
      <x:c r="D3" s="52"/>
      <x:c r="E3" s="52"/>
      <x:c r="F3" s="52"/>
      <x:c r="G3" s="52"/>
      <x:c r="H3" s="52"/>
    </x:row>
    <x:row r="4">
      <x:c r="A4" s="105" t="str">
        <x:v>1. テスト目的</x:v>
      </x:c>
      <x:c r="B4" s="106"/>
      <x:c r="C4" s="106"/>
      <x:c r="D4" s="106"/>
      <x:c r="E4" s="106"/>
      <x:c r="F4" s="106"/>
      <x:c r="G4" s="106"/>
      <x:c r="H4" s="107"/>
    </x:row>
    <x:row r="5" ht="34" customHeight="1">
      <x:c r="A5" s="54" t="str">
        <x:v>テスト環境でアラート処理を実行し、再計算対象期間、閾値判定、既存結果の更新、結果テーブルおよび運用ログが業務仕様どおりになることを確認する。関数単位の戻り値、Mock呼出、Python例外型などはpytestで確認済みとし、本書の対象外とする。</x:v>
      </x:c>
      <x:c r="B5" s="54"/>
      <x:c r="C5" s="54"/>
      <x:c r="D5" s="54"/>
      <x:c r="E5" s="54"/>
      <x:c r="F5" s="54"/>
      <x:c r="G5" s="54"/>
      <x:c r="H5" s="54"/>
    </x:row>
    <x:row r="6" ht="34" customHeight="1">
      <x:c r="A6" s="54"/>
      <x:c r="B6" s="54"/>
      <x:c r="C6" s="54"/>
      <x:c r="D6" s="54"/>
      <x:c r="E6" s="54"/>
      <x:c r="F6" s="54"/>
      <x:c r="G6" s="54"/>
      <x:c r="H6" s="54"/>
    </x:row>
    <x:row r="7">
      <x:c r="A7" s="52"/>
      <x:c r="B7" s="52"/>
      <x:c r="C7" s="52"/>
      <x:c r="D7" s="52"/>
      <x:c r="E7" s="52"/>
      <x:c r="F7" s="52"/>
      <x:c r="G7" s="52"/>
      <x:c r="H7" s="52"/>
    </x:row>
    <x:row r="8">
      <x:c r="A8" s="105" t="str">
        <x:v>2. 試験範囲</x:v>
      </x:c>
      <x:c r="B8" s="106"/>
      <x:c r="C8" s="106"/>
      <x:c r="D8" s="106"/>
      <x:c r="E8" s="106"/>
      <x:c r="F8" s="106"/>
      <x:c r="G8" s="106"/>
      <x:c r="H8" s="107"/>
    </x:row>
    <x:row r="9" ht="44" customHeight="1">
      <x:c r="A9" s="108" t="str">
        <x:v>区分</x:v>
      </x:c>
      <x:c r="B9" s="108" t="str">
        <x:v>対象</x:v>
      </x:c>
      <x:c r="C9" s="108" t="str">
        <x:v>確認内容</x:v>
      </x:c>
      <x:c r="D9" s="52"/>
      <x:c r="E9" s="52"/>
      <x:c r="F9" s="52"/>
      <x:c r="G9" s="52"/>
      <x:c r="H9" s="52"/>
    </x:row>
    <x:row r="10" ht="44" customHeight="1">
      <x:c r="A10" s="109" t="str">
        <x:v>対象</x:v>
      </x:c>
      <x:c r="B10" s="54" t="str">
        <x:v>バッチ正常実行</x:v>
      </x:c>
      <x:c r="C10" s="54" t="str">
        <x:v>ジョブの完了状態、再計算範囲、結果件数、ログ</x:v>
      </x:c>
      <x:c r="D10" s="52"/>
      <x:c r="E10" s="52"/>
      <x:c r="F10" s="52"/>
      <x:c r="G10" s="52"/>
      <x:c r="H10" s="52"/>
    </x:row>
    <x:row r="11" ht="44" customHeight="1">
      <x:c r="A11" s="109" t="str">
        <x:v>対象</x:v>
      </x:c>
      <x:c r="B11" s="54" t="str">
        <x:v>アラート判定</x:v>
      </x:c>
      <x:c r="C11" s="54" t="str">
        <x:v>新規・急増・両方・アラートなし、および業務上重要な境界値</x:v>
      </x:c>
      <x:c r="D11" s="52"/>
      <x:c r="E11" s="52"/>
      <x:c r="F11" s="52"/>
      <x:c r="G11" s="52"/>
      <x:c r="H11" s="52"/>
    </x:row>
    <x:row r="12" ht="44" customHeight="1">
      <x:c r="A12" s="109" t="str">
        <x:v>対象</x:v>
      </x:c>
      <x:c r="B12" s="54" t="str">
        <x:v>データ更新</x:v>
      </x:c>
      <x:c r="C12" s="54" t="str">
        <x:v>対象期間の再計算、期間外データの保持、再実行時の重複防止</x:v>
      </x:c>
      <x:c r="D12" s="52"/>
      <x:c r="E12" s="52"/>
      <x:c r="F12" s="52"/>
      <x:c r="G12" s="52"/>
      <x:c r="H12" s="52"/>
    </x:row>
    <x:row r="13" ht="44" customHeight="1">
      <x:c r="A13" s="109" t="str">
        <x:v>対象</x:v>
      </x:c>
      <x:c r="B13" s="54" t="str">
        <x:v>入力データ不備・障害</x:v>
      </x:c>
      <x:c r="C13" s="54" t="str">
        <x:v>閾値NULL、入力なし、DB障害時の処理結果とログ</x:v>
      </x:c>
      <x:c r="D13" s="52"/>
      <x:c r="E13" s="52"/>
      <x:c r="F13" s="52"/>
      <x:c r="G13" s="52"/>
      <x:c r="H13" s="52"/>
    </x:row>
    <x:row r="14" ht="44" customHeight="1">
      <x:c r="A14" s="111" t="str">
        <x:v>対象外</x:v>
      </x:c>
      <x:c r="B14" s="54" t="str">
        <x:v>関数内部・実装詳細</x:v>
      </x:c>
      <x:c r="C14" s="54" t="str">
        <x:v>関数名、戻り値型、Mock呼出回数、分割INSERT件数、KeyError等。pytestで確認する</x:v>
      </x:c>
      <x:c r="D14" s="52"/>
      <x:c r="E14" s="52"/>
      <x:c r="F14" s="52"/>
      <x:c r="G14" s="52"/>
      <x:c r="H14" s="52"/>
    </x:row>
    <x:row r="15" ht="34" customHeight="1">
      <x:c r="A15" s="52"/>
      <x:c r="B15" s="52"/>
      <x:c r="C15" s="52"/>
      <x:c r="D15" s="52"/>
      <x:c r="E15" s="52"/>
      <x:c r="F15" s="52"/>
      <x:c r="G15" s="52"/>
      <x:c r="H15" s="52"/>
    </x:row>
    <x:row r="16" ht="34" customHeight="1">
      <x:c r="A16" s="105" t="str">
        <x:v>3. 判定仕様</x:v>
      </x:c>
      <x:c r="B16" s="106"/>
      <x:c r="C16" s="106"/>
      <x:c r="D16" s="106"/>
      <x:c r="E16" s="106"/>
      <x:c r="F16" s="106"/>
      <x:c r="G16" s="106"/>
      <x:c r="H16" s="107"/>
    </x:row>
    <x:row r="17" ht="42" customHeight="1">
      <x:c r="A17" s="108" t="str">
        <x:v>判定</x:v>
      </x:c>
      <x:c r="B17" s="108" t="str">
        <x:v>成立条件</x:v>
      </x:c>
      <x:c r="C17" s="108" t="str">
        <x:v>alert_type</x:v>
      </x:c>
      <x:c r="D17" s="108" t="str">
        <x:v>is_alert</x:v>
      </x:c>
      <x:c r="E17" s="52"/>
      <x:c r="F17" s="52"/>
      <x:c r="G17" s="52"/>
      <x:c r="H17" s="52"/>
    </x:row>
    <x:row r="18" ht="42" customHeight="1">
      <x:c r="A18" s="54" t="str">
        <x:v>アラートなし</x:v>
      </x:c>
      <x:c r="B18" s="54" t="str">
        <x:v>新規条件・急増条件のいずれも成立しない</x:v>
      </x:c>
      <x:c r="C18" s="54" t="n">
        <x:v>0</x:v>
      </x:c>
      <x:c r="D18" s="54" t="str">
        <x:v>False</x:v>
      </x:c>
      <x:c r="E18" s="52"/>
      <x:c r="F18" s="52"/>
      <x:c r="G18" s="52"/>
      <x:c r="H18" s="52"/>
    </x:row>
    <x:row r="19" ht="42" customHeight="1">
      <x:c r="A19" s="54" t="str">
        <x:v>新規</x:v>
      </x:c>
      <x:c r="B19" s="54" t="str">
        <x:v>判定日件数が閾値A以上、かつ過去7日平均が閾値B以下</x:v>
      </x:c>
      <x:c r="C19" s="54" t="n">
        <x:v>1</x:v>
      </x:c>
      <x:c r="D19" s="54" t="str">
        <x:v>True</x:v>
      </x:c>
      <x:c r="E19" s="52"/>
      <x:c r="F19" s="52"/>
      <x:c r="G19" s="52"/>
      <x:c r="H19" s="52"/>
    </x:row>
    <x:row r="20" ht="42" customHeight="1">
      <x:c r="A20" s="54" t="str">
        <x:v>急増</x:v>
      </x:c>
      <x:c r="B20" s="54" t="str">
        <x:v>判定日件数が『過去7日平均×閾値C』以上、かつ『判定日件数－過去7日平均』が閾値D以上</x:v>
      </x:c>
      <x:c r="C20" s="54" t="n">
        <x:v>2</x:v>
      </x:c>
      <x:c r="D20" s="54" t="str">
        <x:v>True</x:v>
      </x:c>
      <x:c r="E20" s="52"/>
      <x:c r="F20" s="52"/>
      <x:c r="G20" s="52"/>
      <x:c r="H20" s="52"/>
    </x:row>
    <x:row r="21" ht="42" customHeight="1">
      <x:c r="A21" s="54" t="str">
        <x:v>新規・急増</x:v>
      </x:c>
      <x:c r="B21" s="54" t="str">
        <x:v>新規条件と急増条件が同時に成立</x:v>
      </x:c>
      <x:c r="C21" s="54" t="n">
        <x:v>3</x:v>
      </x:c>
      <x:c r="D21" s="54" t="str">
        <x:v>True</x:v>
      </x:c>
      <x:c r="E21" s="52"/>
      <x:c r="F21" s="52"/>
      <x:c r="G21" s="52"/>
      <x:c r="H21" s="52"/>
    </x:row>
    <x:row r="22" ht="42" customHeight="1">
      <x:c r="A22" s="54" t="str">
        <x:v>閾値NULL</x:v>
      </x:c>
      <x:c r="B22" s="54" t="str">
        <x:v>閾値A～DのいずれかがNULL</x:v>
      </x:c>
      <x:c r="C22" s="54" t="str">
        <x:v>結果行を作成しない</x:v>
      </x:c>
      <x:c r="D22" s="54" t="str">
        <x:v>―</x:v>
      </x:c>
      <x:c r="E22" s="52"/>
      <x:c r="F22" s="52"/>
      <x:c r="G22" s="52"/>
      <x:c r="H22" s="52"/>
    </x:row>
    <x:row r="23" ht="34" customHeight="1">
      <x:c r="A23" s="52"/>
      <x:c r="B23" s="52"/>
      <x:c r="C23" s="52"/>
      <x:c r="D23" s="52"/>
      <x:c r="E23" s="52"/>
      <x:c r="F23" s="52"/>
      <x:c r="G23" s="52"/>
      <x:c r="H23" s="52"/>
    </x:row>
    <x:row r="24" ht="34" customHeight="1">
      <x:c r="A24" s="105" t="str">
        <x:v>4. テストデータの扱い</x:v>
      </x:c>
      <x:c r="B24" s="106"/>
      <x:c r="C24" s="106"/>
      <x:c r="D24" s="106"/>
      <x:c r="E24" s="106"/>
      <x:c r="F24" s="106"/>
      <x:c r="G24" s="106"/>
      <x:c r="H24" s="107"/>
    </x:row>
    <x:row r="25" ht="32" customHeight="1">
      <x:c r="A25" s="54" t="str">
        <x:v>「テストデータ」シートは、各機能試験を実施するためにテスト環境へ登録する入力条件と、その入力から期待される処理結果を整理したものである。テストケース一覧の「テストデータID」から参照する。各データには、何を確認するか、なぜその数値にしたか、どの判定になるかを日本語で明記する。実施時は登録SQL・登録結果・処理後の確認SQLをエビデンスとして保存する。</x:v>
      </x:c>
      <x:c r="B25" s="54"/>
      <x:c r="C25" s="54"/>
      <x:c r="D25" s="54"/>
      <x:c r="E25" s="54"/>
      <x:c r="F25" s="54"/>
      <x:c r="G25" s="54"/>
      <x:c r="H25" s="54"/>
    </x:row>
    <x:row r="26" ht="32" customHeight="1">
      <x:c r="A26" s="54"/>
      <x:c r="B26" s="54"/>
      <x:c r="C26" s="54"/>
      <x:c r="D26" s="54"/>
      <x:c r="E26" s="54"/>
      <x:c r="F26" s="54"/>
      <x:c r="G26" s="54"/>
      <x:c r="H26" s="54"/>
    </x:row>
    <x:row r="27" ht="32" customHeight="1">
      <x:c r="A27" s="54"/>
      <x:c r="B27" s="54"/>
      <x:c r="C27" s="54"/>
      <x:c r="D27" s="54"/>
      <x:c r="E27" s="54"/>
      <x:c r="F27" s="54"/>
      <x:c r="G27" s="54"/>
      <x:c r="H27" s="54"/>
    </x:row>
    <x:row r="28" ht="34" customHeight="1">
      <x:c r="A28" s="52"/>
      <x:c r="B28" s="52"/>
      <x:c r="C28" s="52"/>
      <x:c r="D28" s="52"/>
      <x:c r="E28" s="52"/>
      <x:c r="F28" s="52"/>
      <x:c r="G28" s="52"/>
      <x:c r="H28" s="52"/>
    </x:row>
    <x:row r="29" ht="34" customHeight="1">
      <x:c r="A29" s="105" t="str">
        <x:v>5. 実施手順（共通）</x:v>
      </x:c>
      <x:c r="B29" s="106"/>
      <x:c r="C29" s="106"/>
      <x:c r="D29" s="106"/>
      <x:c r="E29" s="106"/>
      <x:c r="F29" s="106"/>
      <x:c r="G29" s="106"/>
      <x:c r="H29" s="107"/>
    </x:row>
    <x:row r="30" ht="42" customHeight="1">
      <x:c r="A30" s="108" t="str">
        <x:v>Step</x:v>
      </x:c>
      <x:c r="B30" s="108" t="str">
        <x:v>作業</x:v>
      </x:c>
      <x:c r="C30" s="108" t="str">
        <x:v>確認対象</x:v>
      </x:c>
      <x:c r="D30" s="108" t="str">
        <x:v>証跡例</x:v>
      </x:c>
      <x:c r="E30" s="52"/>
      <x:c r="F30" s="52"/>
      <x:c r="G30" s="52"/>
      <x:c r="H30" s="52"/>
    </x:row>
    <x:row r="31" ht="42" customHeight="1">
      <x:c r="A31" s="54" t="n">
        <x:v>1</x:v>
      </x:c>
      <x:c r="B31" s="54" t="str">
        <x:v>テストデータIDに従って入力データ・閾値・既存結果をテスト環境へ登録する</x:v>
      </x:c>
      <x:c r="C31" s="54" t="str">
        <x:v>登録件数・キー・数値</x:v>
      </x:c>
      <x:c r="D31" s="54" t="str">
        <x:v>登録SQL、SELECT結果</x:v>
      </x:c>
      <x:c r="E31" s="52"/>
      <x:c r="F31" s="52"/>
      <x:c r="G31" s="52"/>
      <x:c r="H31" s="52"/>
    </x:row>
    <x:row r="32" ht="42" customHeight="1">
      <x:c r="A32" s="54" t="n">
        <x:v>2</x:v>
      </x:c>
      <x:c r="B32" s="54" t="str">
        <x:v>対象ジョブをスケジューラまたは正式な実行コマンドから起動する</x:v>
      </x:c>
      <x:c r="C32" s="54" t="str">
        <x:v>起動時刻・実行ID</x:v>
      </x:c>
      <x:c r="D32" s="54" t="str">
        <x:v>ジョブ画面、実行ログ</x:v>
      </x:c>
      <x:c r="E32" s="52"/>
      <x:c r="F32" s="52"/>
      <x:c r="G32" s="52"/>
      <x:c r="H32" s="52"/>
    </x:row>
    <x:row r="33" ht="42" customHeight="1">
      <x:c r="A33" s="54" t="n">
        <x:v>3</x:v>
      </x:c>
      <x:c r="B33" s="54" t="str">
        <x:v>ジョブの終了状態とログを確認する</x:v>
      </x:c>
      <x:c r="C33" s="54" t="str">
        <x:v>正常／異常、対象期間、件数、警告</x:v>
      </x:c>
      <x:c r="D33" s="54" t="str">
        <x:v>ログ抜粋</x:v>
      </x:c>
      <x:c r="E33" s="52"/>
      <x:c r="F33" s="52"/>
      <x:c r="G33" s="52"/>
      <x:c r="H33" s="52"/>
    </x:row>
    <x:row r="34" ht="42" customHeight="1">
      <x:c r="A34" s="54" t="n">
        <x:v>4</x:v>
      </x:c>
      <x:c r="B34" s="54" t="str">
        <x:v>結果テーブルを確認する</x:v>
      </x:c>
      <x:c r="C34" s="54" t="str">
        <x:v>行数、キー、alert_type、is_alert、集計値</x:v>
      </x:c>
      <x:c r="D34" s="54" t="str">
        <x:v>確認SQL、結果CSV</x:v>
      </x:c>
      <x:c r="E34" s="52"/>
      <x:c r="F34" s="52"/>
      <x:c r="G34" s="52"/>
      <x:c r="H34" s="52"/>
    </x:row>
    <x:row r="35" ht="42" customHeight="1">
      <x:c r="A35" s="54" t="n">
        <x:v>5</x:v>
      </x:c>
      <x:c r="B35" s="54" t="str">
        <x:v>必要に応じて再実行し、重複・期間外更新がないことを確認する</x:v>
      </x:c>
      <x:c r="C35" s="54" t="str">
        <x:v>再実行前後差分</x:v>
      </x:c>
      <x:c r="D35" s="54" t="str">
        <x:v>差分SQL、比較結果</x:v>
      </x:c>
      <x:c r="E35" s="52"/>
      <x:c r="F35" s="52"/>
      <x:c r="G35" s="52"/>
      <x:c r="H35" s="52"/>
    </x:row>
  </x:sheetData>
  <x:mergeCells>
    <x:mergeCell ref="A1:H2"/>
    <x:mergeCell ref="A4:H4"/>
    <x:mergeCell ref="A5:H6"/>
    <x:mergeCell ref="A8:H8"/>
    <x:mergeCell ref="A16:H16"/>
    <x:mergeCell ref="A24:H24"/>
    <x:mergeCell ref="A25:H27"/>
    <x:mergeCell ref="A29:H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20" hidden="0" customWidth="1"/>
    <x:col min="5" max="5" width="52" hidden="0" customWidth="1"/>
    <x:col min="6" max="6" width="52" hidden="0" customWidth="1"/>
    <x:col min="7" max="7" width="66" hidden="0" customWidth="1"/>
    <x:col min="8" max="8" width="34" hidden="0" customWidth="1"/>
    <x:col min="9" max="9" width="12" hidden="0" customWidth="1"/>
    <x:col min="10" max="10" width="26" hidden="0" customWidth="1"/>
    <x:col min="11" max="11" width="30" hidden="0" customWidth="1"/>
  </x:cols>
  <x:sheetData>
    <x:row r="1" ht="32" customHeight="1">
      <x:c r="A1" s="103" t="str">
        <x:v>テストケース一覧（機能試験）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32" customHeight="1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2"/>
    </x:row>
    <x:row r="3" ht="42" customHeight="1">
      <x:c r="A3" s="108" t="str">
        <x:v>No.</x:v>
      </x:c>
      <x:c r="B3" s="108" t="str">
        <x:v>大項目</x:v>
      </x:c>
      <x:c r="C3" s="108" t="str">
        <x:v>テスト観点</x:v>
      </x:c>
      <x:c r="D3" s="108" t="str">
        <x:v>テストデータID</x:v>
      </x:c>
      <x:c r="E3" s="108" t="str">
        <x:v>前提条件</x:v>
      </x:c>
      <x:c r="F3" s="108" t="str">
        <x:v>実施手順</x:v>
      </x:c>
      <x:c r="G3" s="108" t="str">
        <x:v>期待結果</x:v>
      </x:c>
      <x:c r="H3" s="108" t="str">
        <x:v>実施結果</x:v>
      </x:c>
      <x:c r="I3" s="108" t="str">
        <x:v>判定</x:v>
      </x:c>
      <x:c r="J3" s="108" t="str">
        <x:v>エビデンス</x:v>
      </x:c>
      <x:c r="K3" s="108" t="str">
        <x:v>備考</x:v>
      </x:c>
    </x:row>
    <x:row r="4" ht="74" customHeight="1">
      <x:c r="A4" s="112" t="str">
        <x:v>FNC-001</x:v>
      </x:c>
      <x:c r="B4" s="67" t="str">
        <x:v>バッチ実行</x:v>
      </x:c>
      <x:c r="C4" s="67" t="str">
        <x:v>代表データの正常処理</x:v>
      </x:c>
      <x:c r="D4" s="67" t="str">
        <x:v>TD-001～TD-004</x:v>
      </x:c>
      <x:c r="E4" s="54" t="str">
        <x:v>テスト環境へ4種類の代表データを登録済みである。</x:v>
      </x:c>
      <x:c r="F4" s="54" t="str">
        <x:v>共通手順に従いジョブを実行し、終了状態、ログ、結果テーブルを確認する。</x:v>
      </x:c>
      <x:c r="G4" s="54" t="str">
        <x:v>ジョブが正常終了し、4件が各テストデータの期待alert_type・is_alertで登録される。</x:v>
      </x:c>
      <x:c r="H4" s="54" t="str"/>
      <x:c r="I4" s="67" t="str">
        <x:v>未実施</x:v>
      </x:c>
      <x:c r="J4" s="54" t="str"/>
      <x:c r="K4" s="54" t="str"/>
    </x:row>
    <x:row r="5" ht="74" customHeight="1">
      <x:c r="A5" s="112" t="str">
        <x:v>FNC-002</x:v>
      </x:c>
      <x:c r="B5" s="67" t="str">
        <x:v>再計算範囲</x:v>
      </x:c>
      <x:c r="C5" s="67" t="str">
        <x:v>通常月の対象期間</x:v>
      </x:c>
      <x:c r="D5" s="67" t="str">
        <x:v>OD-001</x:v>
      </x:c>
      <x:c r="E5" s="54" t="str">
        <x:v>実行日を2026-08-15（JST）として検証できる環境を使用し、対象期間内外に識別可能な既存結果を準備する。</x:v>
      </x:c>
      <x:c r="F5" s="54" t="str">
        <x:v>ジョブ実行前後の結果テーブルを比較し、ログの判定対象日・対象期間を確認する。</x:v>
      </x:c>
      <x:c r="G5" s="54" t="str">
        <x:v>判定対象日は2026-08-12、再計算対象は2026-07-01～2026-08-12となる。対象期間内は再計算結果へ更新され、期間外は変更されない。</x:v>
      </x:c>
      <x:c r="H5" s="54" t="str"/>
      <x:c r="I5" s="67" t="str">
        <x:v>未実施</x:v>
      </x:c>
      <x:c r="J5" s="54" t="str"/>
      <x:c r="K5" s="54" t="str"/>
    </x:row>
    <x:row r="6" ht="74" customHeight="1">
      <x:c r="A6" s="112" t="str">
        <x:v>FNC-003</x:v>
      </x:c>
      <x:c r="B6" s="67" t="str">
        <x:v>再計算範囲</x:v>
      </x:c>
      <x:c r="C6" s="67" t="str">
        <x:v>年跨ぎの対象期間</x:v>
      </x:c>
      <x:c r="D6" s="67" t="str">
        <x:v>OD-002</x:v>
      </x:c>
      <x:c r="E6" s="54" t="str">
        <x:v>実行日を2026-01-10（JST）として検証できる環境を使用し、2025年11月～2026年1月に識別可能な結果を準備する。</x:v>
      </x:c>
      <x:c r="F6" s="54" t="str">
        <x:v>ジョブを実行し、ログと結果テーブルの更新範囲を確認する。</x:v>
      </x:c>
      <x:c r="G6" s="54" t="str">
        <x:v>判定対象日は2026-01-07、再計算対象は2025-12-01～2026-01-07となる。2025年11月の結果は変更されない。</x:v>
      </x:c>
      <x:c r="H6" s="54" t="str"/>
      <x:c r="I6" s="67" t="str">
        <x:v>未実施</x:v>
      </x:c>
      <x:c r="J6" s="54" t="str"/>
      <x:c r="K6" s="54" t="str"/>
    </x:row>
    <x:row r="7" ht="74" customHeight="1">
      <x:c r="A7" s="112" t="str">
        <x:v>FNC-004</x:v>
      </x:c>
      <x:c r="B7" s="67" t="str">
        <x:v>比較期間</x:v>
      </x:c>
      <x:c r="C7" s="67" t="str">
        <x:v>過去7日平均の使用</x:v>
      </x:c>
      <x:c r="D7" s="67" t="str">
        <x:v>OD-006</x:v>
      </x:c>
      <x:c r="E7" s="54" t="str">
        <x:v>判定日前7日間と、それより前の日に異なる件数を登録する。</x:v>
      </x:c>
      <x:c r="F7" s="54" t="str">
        <x:v>ジョブを実行し、結果テーブルのcount_comparison_avgと判定結果を確認する。</x:v>
      </x:c>
      <x:c r="G7" s="54" t="str">
        <x:v>判定日の前日から7日前までだけを用いた平均値8.00が保存され、それより前の日の件数は平均計算に含まれない。</x:v>
      </x:c>
      <x:c r="H7" s="54" t="str"/>
      <x:c r="I7" s="67" t="str">
        <x:v>未実施</x:v>
      </x:c>
      <x:c r="J7" s="54" t="str"/>
      <x:c r="K7" s="54" t="str"/>
    </x:row>
    <x:row r="8" ht="74" customHeight="1">
      <x:c r="A8" s="112" t="str">
        <x:v>FNC-005</x:v>
      </x:c>
      <x:c r="B8" s="67" t="str">
        <x:v>入力データ</x:v>
      </x:c>
      <x:c r="C8" s="67" t="str">
        <x:v>対象データなし</x:v>
      </x:c>
      <x:c r="D8" s="67" t="str">
        <x:v>OD-003</x:v>
      </x:c>
      <x:c r="E8" s="54" t="str">
        <x:v>再計算対象期間にアラート集計対象データが存在しない。</x:v>
      </x:c>
      <x:c r="F8" s="54" t="str">
        <x:v>ジョブを実行し、終了状態、ログ、結果テーブルを確認する。</x:v>
      </x:c>
      <x:c r="G8" s="54" t="str">
        <x:v>ジョブは正常終了し、『アラート判定対象データなし』が記録され、新規結果は登録されない。</x:v>
      </x:c>
      <x:c r="H8" s="54" t="str"/>
      <x:c r="I8" s="67" t="str">
        <x:v>未実施</x:v>
      </x:c>
      <x:c r="J8" s="54" t="str"/>
      <x:c r="K8" s="54" t="str"/>
    </x:row>
    <x:row r="9" ht="74" customHeight="1">
      <x:c r="A9" s="112" t="str">
        <x:v>FNC-006</x:v>
      </x:c>
      <x:c r="B9" s="67" t="str">
        <x:v>再実行</x:v>
      </x:c>
      <x:c r="C9" s="67" t="str">
        <x:v>同一条件での再実行</x:v>
      </x:c>
      <x:c r="D9" s="67" t="str">
        <x:v>OD-004</x:v>
      </x:c>
      <x:c r="E9" s="54" t="str">
        <x:v>1回目のジョブが正常終了している。入力データと閾値は変更しない。</x:v>
      </x:c>
      <x:c r="F9" s="54" t="str">
        <x:v>同じ条件でジョブを再実行し、1回目と2回目の結果をキー・件数・値で比較する。</x:v>
      </x:c>
      <x:c r="G9" s="54" t="str">
        <x:v>2回目も正常終了し、対象期間の結果は1回目と一致する。重複行は発生しない。</x:v>
      </x:c>
      <x:c r="H9" s="54" t="str"/>
      <x:c r="I9" s="67" t="str">
        <x:v>未実施</x:v>
      </x:c>
      <x:c r="J9" s="54" t="str"/>
      <x:c r="K9" s="54" t="str"/>
    </x:row>
    <x:row r="10" ht="74" customHeight="1">
      <x:c r="A10" s="112" t="str">
        <x:v>JUD-001</x:v>
      </x:c>
      <x:c r="B10" s="67" t="str">
        <x:v>アラート判定</x:v>
      </x:c>
      <x:c r="C10" s="67" t="str">
        <x:v>新規のみ成立</x:v>
      </x:c>
      <x:c r="D10" s="67" t="str">
        <x:v>TD-001</x:v>
      </x:c>
      <x:c r="E10" s="54" t="str">
        <x:v>新規条件だけが成立するデータを登録する。</x:v>
      </x:c>
      <x:c r="F10" s="54" t="str">
        <x:v>ジョブを実行し、該当キーの結果を確認する。</x:v>
      </x:c>
      <x:c r="G10" s="54" t="str">
        <x:v>alert_type=1、is_alert=Trueで登録される。</x:v>
      </x:c>
      <x:c r="H10" s="54" t="str"/>
      <x:c r="I10" s="67" t="str">
        <x:v>未実施</x:v>
      </x:c>
      <x:c r="J10" s="54" t="str"/>
      <x:c r="K10" s="54" t="str"/>
    </x:row>
    <x:row r="11" ht="74" customHeight="1">
      <x:c r="A11" s="112" t="str">
        <x:v>JUD-002</x:v>
      </x:c>
      <x:c r="B11" s="67" t="str">
        <x:v>アラート判定</x:v>
      </x:c>
      <x:c r="C11" s="67" t="str">
        <x:v>急増のみ成立</x:v>
      </x:c>
      <x:c r="D11" s="67" t="str">
        <x:v>TD-002</x:v>
      </x:c>
      <x:c r="E11" s="54" t="str">
        <x:v>急増条件だけが成立するデータを登録する。</x:v>
      </x:c>
      <x:c r="F11" s="54" t="str">
        <x:v>ジョブを実行し、該当キーの結果を確認する。</x:v>
      </x:c>
      <x:c r="G11" s="54" t="str">
        <x:v>alert_type=2、is_alert=Trueで登録される。</x:v>
      </x:c>
      <x:c r="H11" s="54" t="str"/>
      <x:c r="I11" s="67" t="str">
        <x:v>未実施</x:v>
      </x:c>
      <x:c r="J11" s="54" t="str"/>
      <x:c r="K11" s="54" t="str"/>
    </x:row>
    <x:row r="12" ht="74" customHeight="1">
      <x:c r="A12" s="112" t="str">
        <x:v>JUD-003</x:v>
      </x:c>
      <x:c r="B12" s="67" t="str">
        <x:v>アラート判定</x:v>
      </x:c>
      <x:c r="C12" s="67" t="str">
        <x:v>新規・急増が同時成立</x:v>
      </x:c>
      <x:c r="D12" s="67" t="str">
        <x:v>TD-003</x:v>
      </x:c>
      <x:c r="E12" s="54" t="str">
        <x:v>新規条件と急増条件の両方が成立するデータを登録する。</x:v>
      </x:c>
      <x:c r="F12" s="54" t="str">
        <x:v>ジョブを実行し、該当キーの結果を確認する。</x:v>
      </x:c>
      <x:c r="G12" s="54" t="str">
        <x:v>1件の結果がalert_type=3、is_alert=Trueで登録される。新規・急増の2件には分かれない。</x:v>
      </x:c>
      <x:c r="H12" s="54" t="str"/>
      <x:c r="I12" s="67" t="str">
        <x:v>未実施</x:v>
      </x:c>
      <x:c r="J12" s="54" t="str"/>
      <x:c r="K12" s="54" t="str"/>
    </x:row>
    <x:row r="13" ht="74" customHeight="1">
      <x:c r="A13" s="112" t="str">
        <x:v>JUD-004</x:v>
      </x:c>
      <x:c r="B13" s="67" t="str">
        <x:v>アラート判定</x:v>
      </x:c>
      <x:c r="C13" s="67" t="str">
        <x:v>いずれの条件も不成立</x:v>
      </x:c>
      <x:c r="D13" s="67" t="str">
        <x:v>TD-004</x:v>
      </x:c>
      <x:c r="E13" s="54" t="str">
        <x:v>新規条件と急増条件のいずれも成立しないデータを登録する。</x:v>
      </x:c>
      <x:c r="F13" s="54" t="str">
        <x:v>ジョブを実行し、該当キーの結果を確認する。</x:v>
      </x:c>
      <x:c r="G13" s="54" t="str">
        <x:v>alert_type=0、is_alert=Falseで登録される。※alert_type=0を保存対象とする仕様はQA-001で確認する。</x:v>
      </x:c>
      <x:c r="H13" s="54" t="str"/>
      <x:c r="I13" s="67" t="str">
        <x:v>未実施</x:v>
      </x:c>
      <x:c r="J13" s="54" t="str"/>
      <x:c r="K13" s="54" t="str"/>
    </x:row>
    <x:row r="14" ht="74" customHeight="1">
      <x:c r="A14" s="112" t="str">
        <x:v>BND-001</x:v>
      </x:c>
      <x:c r="B14" s="67" t="str">
        <x:v>境界値</x:v>
      </x:c>
      <x:c r="C14" s="67" t="str">
        <x:v>判定日件数が閾値Aと同値</x:v>
      </x:c>
      <x:c r="D14" s="67" t="str">
        <x:v>TD-005</x:v>
      </x:c>
      <x:c r="E14" s="54" t="str">
        <x:v>判定日件数を閾値Aと同じ5件にし、過去7日平均を閾値B以下にする。</x:v>
      </x:c>
      <x:c r="F14" s="54" t="str">
        <x:v>ジョブを実行し、該当キーの結果を確認する。</x:v>
      </x:c>
      <x:c r="G14" s="54" t="str">
        <x:v>『閾値A以上』には等号を含むため新規条件が成立し、alert_type=1となる。</x:v>
      </x:c>
      <x:c r="H14" s="54" t="str"/>
      <x:c r="I14" s="67" t="str">
        <x:v>未実施</x:v>
      </x:c>
      <x:c r="J14" s="54" t="str"/>
      <x:c r="K14" s="54" t="str"/>
    </x:row>
    <x:row r="15" ht="74" customHeight="1">
      <x:c r="A15" s="112" t="str">
        <x:v>BND-002</x:v>
      </x:c>
      <x:c r="B15" s="67" t="str">
        <x:v>境界値</x:v>
      </x:c>
      <x:c r="C15" s="67" t="str">
        <x:v>過去7日平均が閾値Bと同値</x:v>
      </x:c>
      <x:c r="D15" s="67" t="str">
        <x:v>TD-006</x:v>
      </x:c>
      <x:c r="E15" s="54" t="str">
        <x:v>過去7日平均を閾値Bと同じ1件にし、判定日件数を閾値A以上にする。</x:v>
      </x:c>
      <x:c r="F15" s="54" t="str">
        <x:v>ジョブを実行し、該当キーの結果を確認する。</x:v>
      </x:c>
      <x:c r="G15" s="54" t="str">
        <x:v>『閾値B以下』には等号を含むため新規条件が成立し、alert_type=1となる。</x:v>
      </x:c>
      <x:c r="H15" s="54" t="str"/>
      <x:c r="I15" s="67" t="str">
        <x:v>未実施</x:v>
      </x:c>
      <x:c r="J15" s="54" t="str"/>
      <x:c r="K15" s="54" t="str"/>
    </x:row>
    <x:row r="16" ht="74" customHeight="1">
      <x:c r="A16" s="112" t="str">
        <x:v>BND-003</x:v>
      </x:c>
      <x:c r="B16" s="67" t="str">
        <x:v>境界値</x:v>
      </x:c>
      <x:c r="C16" s="67" t="str">
        <x:v>急増の2条件がともに境界値</x:v>
      </x:c>
      <x:c r="D16" s="67" t="str">
        <x:v>TD-007</x:v>
      </x:c>
      <x:c r="E16" s="54" t="str">
        <x:v>判定日件数を『過去7日平均×閾値C』と同じ10件、増加件数を閾値Dと同じ6件にする。</x:v>
      </x:c>
      <x:c r="F16" s="54" t="str">
        <x:v>ジョブを実行し、該当キーの計算値と結果を確認する。</x:v>
      </x:c>
      <x:c r="G16" s="54" t="str">
        <x:v>両条件とも『以上』で等号を含むため急増条件が成立し、alert_type=2となる。</x:v>
      </x:c>
      <x:c r="H16" s="54" t="str"/>
      <x:c r="I16" s="67" t="str">
        <x:v>未実施</x:v>
      </x:c>
      <x:c r="J16" s="54" t="str"/>
      <x:c r="K16" s="54" t="str"/>
    </x:row>
    <x:row r="17" ht="74" customHeight="1">
      <x:c r="A17" s="112" t="str">
        <x:v>BND-004</x:v>
      </x:c>
      <x:c r="B17" s="67" t="str">
        <x:v>境界値</x:v>
      </x:c>
      <x:c r="C17" s="67" t="str">
        <x:v>判定日件数が閾値Aを1件下回る</x:v>
      </x:c>
      <x:c r="D17" s="67" t="str">
        <x:v>TD-008</x:v>
      </x:c>
      <x:c r="E17" s="54" t="str">
        <x:v>判定日件数を4件、閾値Aを5件にする。急増条件は成立しないようにする。</x:v>
      </x:c>
      <x:c r="F17" s="54" t="str">
        <x:v>ジョブを実行し、該当キーの結果を確認する。</x:v>
      </x:c>
      <x:c r="G17" s="54" t="str">
        <x:v>新規条件は成立せず、alert_type=0、is_alert=Falseとなる。</x:v>
      </x:c>
      <x:c r="H17" s="54" t="str"/>
      <x:c r="I17" s="67" t="str">
        <x:v>未実施</x:v>
      </x:c>
      <x:c r="J17" s="54" t="str"/>
      <x:c r="K17" s="54" t="str"/>
    </x:row>
    <x:row r="18" ht="74" customHeight="1">
      <x:c r="A18" s="112" t="str">
        <x:v>BND-005</x:v>
      </x:c>
      <x:c r="B18" s="67" t="str">
        <x:v>境界値</x:v>
      </x:c>
      <x:c r="C18" s="67" t="str">
        <x:v>過去7日平均が閾値Bをわずかに上回る</x:v>
      </x:c>
      <x:c r="D18" s="67" t="str">
        <x:v>TD-009</x:v>
      </x:c>
      <x:c r="E18" s="54" t="str">
        <x:v>過去7日平均を1.01、閾値Bを1.00にする。急増条件は成立しないようにする。</x:v>
      </x:c>
      <x:c r="F18" s="54" t="str">
        <x:v>ジョブを実行し、該当キーの結果を確認する。</x:v>
      </x:c>
      <x:c r="G18" s="54" t="str">
        <x:v>新規条件は成立せず、alert_type=0、is_alert=Falseとなる。</x:v>
      </x:c>
      <x:c r="H18" s="54" t="str"/>
      <x:c r="I18" s="67" t="str">
        <x:v>未実施</x:v>
      </x:c>
      <x:c r="J18" s="54" t="str"/>
      <x:c r="K18" s="54" t="str"/>
    </x:row>
    <x:row r="19" ht="74" customHeight="1">
      <x:c r="A19" s="112" t="str">
        <x:v>BND-006</x:v>
      </x:c>
      <x:c r="B19" s="67" t="str">
        <x:v>境界値</x:v>
      </x:c>
      <x:c r="C19" s="67" t="str">
        <x:v>判定日件数が急増倍率基準を下回る</x:v>
      </x:c>
      <x:c r="D19" s="67" t="str">
        <x:v>TD-010</x:v>
      </x:c>
      <x:c r="E19" s="54" t="str">
        <x:v>増加件数は閾値D以上だが、判定日件数は『過去7日平均×閾値C』を下回るデータにする。</x:v>
      </x:c>
      <x:c r="F19" s="54" t="str">
        <x:v>ジョブを実行し、計算値と結果を確認する。</x:v>
      </x:c>
      <x:c r="G19" s="54" t="str">
        <x:v>急増の倍率条件が成立しないため、alert_type=0、is_alert=Falseとなる。</x:v>
      </x:c>
      <x:c r="H19" s="54" t="str"/>
      <x:c r="I19" s="67" t="str">
        <x:v>未実施</x:v>
      </x:c>
      <x:c r="J19" s="54" t="str"/>
      <x:c r="K19" s="54" t="str"/>
    </x:row>
    <x:row r="20" ht="74" customHeight="1">
      <x:c r="A20" s="112" t="str">
        <x:v>BND-007</x:v>
      </x:c>
      <x:c r="B20" s="67" t="str">
        <x:v>境界値</x:v>
      </x:c>
      <x:c r="C20" s="67" t="str">
        <x:v>増加件数が閾値Dを下回る</x:v>
      </x:c>
      <x:c r="D20" s="67" t="str">
        <x:v>TD-011</x:v>
      </x:c>
      <x:c r="E20" s="54" t="str">
        <x:v>倍率条件は成立するが、増加件数は閾値Dを下回るデータにする。</x:v>
      </x:c>
      <x:c r="F20" s="54" t="str">
        <x:v>ジョブを実行し、計算値と結果を確認する。</x:v>
      </x:c>
      <x:c r="G20" s="54" t="str">
        <x:v>急増の増加件数条件が成立しないため、alert_type=0、is_alert=Falseとなる。</x:v>
      </x:c>
      <x:c r="H20" s="54" t="str"/>
      <x:c r="I20" s="67" t="str">
        <x:v>未実施</x:v>
      </x:c>
      <x:c r="J20" s="54" t="str"/>
      <x:c r="K20" s="54" t="str"/>
    </x:row>
    <x:row r="21" ht="74" customHeight="1">
      <x:c r="A21" s="112" t="str">
        <x:v>DAT-001</x:v>
      </x:c>
      <x:c r="B21" s="67" t="str">
        <x:v>データ不備</x:v>
      </x:c>
      <x:c r="C21" s="67" t="str">
        <x:v>閾値がNULLの行</x:v>
      </x:c>
      <x:c r="D21" s="67" t="str">
        <x:v>TD-012</x:v>
      </x:c>
      <x:c r="E21" s="54" t="str">
        <x:v>閾値A～DのいずれかがNULLのデータと、正常データを同時に登録する。</x:v>
      </x:c>
      <x:c r="F21" s="54" t="str">
        <x:v>ジョブを実行し、結果テーブルと警告ログを確認する。</x:v>
      </x:c>
      <x:c r="G21" s="54" t="str">
        <x:v>NULLを含む行だけ結果が作成されず、正常データは処理される。警告ログに対象キーとスキップ件数が記録される。</x:v>
      </x:c>
      <x:c r="H21" s="54" t="str"/>
      <x:c r="I21" s="67" t="str">
        <x:v>未実施</x:v>
      </x:c>
      <x:c r="J21" s="54" t="str"/>
      <x:c r="K21" s="54" t="str"/>
    </x:row>
    <x:row r="22" ht="74" customHeight="1">
      <x:c r="A22" s="112" t="str">
        <x:v>DAT-002</x:v>
      </x:c>
      <x:c r="B22" s="67" t="str">
        <x:v>グループ判定</x:v>
      </x:c>
      <x:c r="C22" s="67" t="str">
        <x:v>複数グループを独立判定</x:v>
      </x:c>
      <x:c r="D22" s="67" t="str">
        <x:v>TD-013-1～TD-013-3</x:v>
      </x:c>
      <x:c r="E22" s="54" t="str">
        <x:v>機種・ガス種・エラーコードが異なる3グループを同じ判定日に登録する。</x:v>
      </x:c>
      <x:c r="F22" s="54" t="str">
        <x:v>ジョブを実行し、各グループの結果を個別に確認する。</x:v>
      </x:c>
      <x:c r="G22" s="54" t="str">
        <x:v>3グループが混在せず独立して判定され、各行がテストデータ記載の期待alert_typeとなる。</x:v>
      </x:c>
      <x:c r="H22" s="54" t="str"/>
      <x:c r="I22" s="67" t="str">
        <x:v>未実施</x:v>
      </x:c>
      <x:c r="J22" s="54" t="str"/>
      <x:c r="K22" s="54" t="str"/>
    </x:row>
    <x:row r="23" ht="74" customHeight="1">
      <x:c r="A23" s="112" t="str">
        <x:v>ERR-001</x:v>
      </x:c>
      <x:c r="B23" s="67" t="str">
        <x:v>異常系</x:v>
      </x:c>
      <x:c r="C23" s="67" t="str">
        <x:v>DB接続・SQL実行失敗</x:v>
      </x:c>
      <x:c r="D23" s="67" t="str">
        <x:v>OD-005</x:v>
      </x:c>
      <x:c r="E23" s="54" t="str">
        <x:v>テスト環境で参照DBを一時的に接続不可にするなど、安全にSQL失敗を再現できる。</x:v>
      </x:c>
      <x:c r="F23" s="54" t="str">
        <x:v>ジョブを実行し、終了状態、エラーログ、監視通知を確認する。</x:v>
      </x:c>
      <x:c r="G23" s="54" t="str">
        <x:v>ジョブは異常終了し、エラー内容と処理終了がログに記録され、ジョブ監視で失敗を検知できる。結果テーブルの復旧方針はQA-002に従う。</x:v>
      </x:c>
      <x:c r="H23" s="54" t="str"/>
      <x:c r="I23" s="67" t="str">
        <x:v>未実施</x:v>
      </x:c>
      <x:c r="J23" s="54" t="str"/>
      <x:c r="K23" s="54" t="str"/>
    </x:row>
    <x:row r="24" ht="74" customHeight="1">
      <x:c r="A24" s="112" t="str">
        <x:v>OPS-001</x:v>
      </x:c>
      <x:c r="B24" s="67" t="str">
        <x:v>運用ログ</x:v>
      </x:c>
      <x:c r="C24" s="67" t="str">
        <x:v>正常終了時の追跡情報</x:v>
      </x:c>
      <x:c r="D24" s="67" t="str">
        <x:v>TD-001</x:v>
      </x:c>
      <x:c r="E24" s="54" t="str">
        <x:v>正常処理できるデータを登録する。</x:v>
      </x:c>
      <x:c r="F24" s="54" t="str">
        <x:v>ジョブを実行し、実行ログを確認する。</x:v>
      </x:c>
      <x:c r="G24" s="54" t="str">
        <x:v>開始、判定対象日、再計算対象期間、処理件数、完了、終了を追跡できる情報がログに記録される。</x:v>
      </x:c>
      <x:c r="H24" s="54" t="str"/>
      <x:c r="I24" s="67" t="str">
        <x:v>未実施</x:v>
      </x:c>
      <x:c r="J24" s="54" t="str"/>
      <x:c r="K24" s="54" t="str"/>
    </x:row>
    <x:row r="25" ht="60" customHeight="1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</x:row>
    <x:row r="26" ht="60" customHeight="1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</x:row>
    <x:row r="27" ht="60" customHeight="1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</x:row>
    <x:row r="28" ht="60" customHeight="1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</x:row>
    <x:row r="29" ht="60" customHeight="1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</x:row>
    <x:row r="30" ht="60" customHeight="1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</x:row>
    <x:row r="31" ht="60" customHeight="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</x:row>
    <x:row r="32" ht="60" customHeight="1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</x:row>
    <x:row r="33" ht="60" customHeight="1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</x:row>
    <x:row r="34" ht="60" customHeight="1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</x:row>
    <x:row r="35" ht="60" customHeight="1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</x:row>
    <x:row r="36" ht="60" customHeight="1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</x:row>
    <x:row r="37" ht="60" customHeight="1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</x:row>
    <x:row r="38" ht="60" customHeight="1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</x:row>
    <x:row r="39" ht="60" customHeight="1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</x:row>
    <x:row r="40" ht="60" customHeight="1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</x:row>
    <x:row r="41" ht="60" customHeight="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</x:row>
    <x:row r="42" ht="60" customHeight="1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</x:row>
    <x:row r="43" ht="60" customHeight="1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</x:row>
    <x:row r="44" ht="60" customHeight="1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</x:row>
    <x:row r="45" ht="60" customHeight="1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</x:row>
    <x:row r="46" ht="60" customHeight="1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</x:row>
    <x:row r="47" ht="60" customHeight="1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</x:row>
    <x:row r="48" ht="60" customHeight="1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</x:row>
    <x:row r="49" ht="60" customHeight="1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</x:row>
    <x:row r="50" ht="60" customHeight="1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</x:row>
    <x:row r="51" ht="60" customHeight="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</x:row>
    <x:row r="52" ht="60" customHeight="1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</x:row>
    <x:row r="53" ht="60" customHeight="1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</x:row>
    <x:row r="54" ht="60" customHeight="1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</x:row>
    <x:row r="55" ht="60" customHeight="1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</x:row>
    <x:row r="56" ht="60" customHeight="1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</x:row>
    <x:row r="57" ht="60" customHeight="1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</x:row>
    <x:row r="58" ht="60" customHeight="1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</x:row>
    <x:row r="59" ht="60" customHeight="1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</x:row>
    <x:row r="60" ht="60" customHeight="1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</x:row>
    <x:row r="61" ht="60" customHeight="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</x:row>
  </x:sheetData>
  <x:mergeCells>
    <x:mergeCell ref="A1:K2"/>
  </x:mergeCells>
  <x:conditionalFormatting sqref="I4:I61">
    <x:cfRule type="containsText" dxfId="0" priority="1" operator="containsText" text="OK"/>
    <x:cfRule type="containsText" dxfId="1" priority="2" operator="containsText" text="NG"/>
    <x:cfRule type="containsText" dxfId="2" priority="3" operator="containsText" text="未実施"/>
  </x:conditionalFormatting>
  <x:conditionalFormatting sqref="I4:I24">
    <x:cfRule type="containsText" dxfId="5" priority="4" operator="containsText" text="OK"/>
    <x:cfRule type="containsText" dxfId="6" priority="5" operator="containsText" text="NG"/>
    <x:cfRule type="containsText" dxfId="7" priority="6" operator="containsText" text="未実施"/>
  </x:conditionalFormatting>
  <x:dataValidations count="2">
    <x:dataValidation type="list" sqref="I4:I61">
      <x:formula1>"未実施,OK,NG,対象外"</x:formula1>
    </x:dataValidation>
    <x:dataValidation type="list" sqref="I4:I24">
      <x:formula1>"未実施,OK,NG,対象外"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6cb1e70faf4f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4" hidden="0" customWidth="1"/>
    <x:col min="4" max="4" width="13" hidden="0" customWidth="1"/>
    <x:col min="5" max="5" width="14" hidden="0" customWidth="1"/>
    <x:col min="6" max="6" width="32" hidden="0" customWidth="1"/>
    <x:col min="7" max="7" width="5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6" hidden="0" customWidth="1"/>
    <x:col min="13" max="13" width="18" hidden="0" customWidth="1"/>
    <x:col min="14" max="14" width="23" hidden="0" customWidth="1"/>
    <x:col min="15" max="15" width="25" hidden="0" customWidth="1"/>
    <x:col min="16" max="16" width="18" hidden="0" customWidth="1"/>
    <x:col min="17" max="17" width="18" hidden="0" customWidth="1"/>
    <x:col min="18" max="18" width="62" hidden="0" customWidth="1"/>
  </x:cols>
  <x:sheetData>
    <x:row r="1" ht="32" customHeight="1">
      <x:c r="A1" s="103" t="str">
        <x:v>機能試験用テストデータ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 ht="32" customHeight="1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</x:row>
    <x:row r="3" ht="32" customHeight="1">
      <x:c r="A3" s="113" t="str">
        <x:v>本シートは、テスト環境へ登録する入力条件と期待結果を示す。テストケース一覧の『テストデータID』から参照する。数値だけでなく、確認観点・設定理由・期待結果の説明を必ずセットで使用する。</x:v>
      </x:c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 s="113"/>
      <x:c r="M3" s="113"/>
      <x:c r="N3" s="113"/>
      <x:c r="O3" s="113"/>
      <x:c r="P3" s="113"/>
      <x:c r="Q3" s="113"/>
      <x:c r="R3" s="113"/>
    </x:row>
    <x:row r="4" ht="32" customHeight="1">
      <x:c r="A4" s="113"/>
      <x:c r="B4" s="113"/>
      <x:c r="C4" s="113"/>
      <x:c r="D4" s="113"/>
      <x:c r="E4" s="113"/>
      <x:c r="F4" s="113"/>
      <x:c r="G4" s="113"/>
      <x:c r="H4" s="113"/>
      <x:c r="I4" s="113"/>
      <x:c r="J4" s="113"/>
      <x:c r="K4" s="113"/>
      <x:c r="L4" s="113"/>
      <x:c r="M4" s="113"/>
      <x:c r="N4" s="113"/>
      <x:c r="O4" s="113"/>
      <x:c r="P4" s="113"/>
      <x:c r="Q4" s="113"/>
      <x:c r="R4" s="113"/>
    </x:row>
    <x:row r="5" ht="32" customHeight="1">
      <x:c r="A5" s="54" t="str">
        <x:v>共通値：err_type=1、threshold_group_id=10、threshold_group_name=Group-A。TD-013のみ機種・ガス種を変えてグループ独立判定を確認する。</x:v>
      </x:c>
      <x:c r="B5" s="54"/>
      <x:c r="C5" s="54"/>
      <x:c r="D5" s="54"/>
      <x:c r="E5" s="54"/>
      <x:c r="F5" s="54"/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</x:row>
    <x:row r="6" ht="32" customHeight="1">
      <x:c r="A6" s="52"/>
      <x:c r="B6" s="52"/>
      <x:c r="C6" s="52"/>
      <x:c r="D6" s="52"/>
      <x:c r="E6" s="52"/>
      <x:c r="F6" s="52"/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</x:row>
    <x:row r="7" ht="46" customHeight="1">
      <x:c r="A7" s="108" t="str">
        <x:v>データID</x:v>
      </x:c>
      <x:c r="B7" s="108" t="str">
        <x:v>対応ケース</x:v>
      </x:c>
      <x:c r="C7" s="108" t="str">
        <x:v>series_name</x:v>
      </x:c>
      <x:c r="D7" s="108" t="str">
        <x:v>gas_type</x:v>
      </x:c>
      <x:c r="E7" s="108" t="str">
        <x:v>err_code</x:v>
      </x:c>
      <x:c r="F7" s="108" t="str">
        <x:v>確認観点</x:v>
      </x:c>
      <x:c r="G7" s="108" t="str">
        <x:v>設定理由</x:v>
      </x:c>
      <x:c r="H7" s="108" t="str">
        <x:v>閾値A</x:v>
      </x:c>
      <x:c r="I7" s="108" t="str">
        <x:v>閾値B</x:v>
      </x:c>
      <x:c r="J7" s="108" t="str">
        <x:v>閾値C</x:v>
      </x:c>
      <x:c r="K7" s="108" t="str">
        <x:v>閾値D</x:v>
      </x:c>
      <x:c r="L7" s="108" t="str">
        <x:v>判定日件数</x:v>
      </x:c>
      <x:c r="M7" s="108" t="str">
        <x:v>過去7日平均</x:v>
      </x:c>
      <x:c r="N7" s="108" t="str">
        <x:v>急増倍率基準値（平均×C）</x:v>
      </x:c>
      <x:c r="O7" s="108" t="str">
        <x:v>増加件数（判定日－平均）</x:v>
      </x:c>
      <x:c r="P7" s="108" t="str">
        <x:v>期待alert_type</x:v>
      </x:c>
      <x:c r="Q7" s="108" t="str">
        <x:v>期待is_alert</x:v>
      </x:c>
      <x:c r="R7" s="108" t="str">
        <x:v>期待結果の説明</x:v>
      </x:c>
    </x:row>
    <x:row r="8" ht="66" customHeight="1">
      <x:c r="A8" s="112" t="str">
        <x:v>TD-001</x:v>
      </x:c>
      <x:c r="B8" s="54" t="str">
        <x:v>JUD-001</x:v>
      </x:c>
      <x:c r="C8" s="54" t="str">
        <x:v>S1</x:v>
      </x:c>
      <x:c r="D8" s="54" t="str">
        <x:v>G1</x:v>
      </x:c>
      <x:c r="E8" s="54" t="str">
        <x:v>E001</x:v>
      </x:c>
      <x:c r="F8" s="54" t="str">
        <x:v>新規条件だけが成立</x:v>
      </x:c>
      <x:c r="G8" s="54" t="str">
        <x:v>判定日件数をA以上、過去平均をB以下にし、急増条件は成立しない値にする。</x:v>
      </x:c>
      <x:c r="H8" s="68" t="n">
        <x:v>5</x:v>
      </x:c>
      <x:c r="I8" s="68" t="n">
        <x:v>1</x:v>
      </x:c>
      <x:c r="J8" s="68" t="n">
        <x:v>10</x:v>
      </x:c>
      <x:c r="K8" s="68" t="n">
        <x:v>10</x:v>
      </x:c>
      <x:c r="L8" s="68" t="n">
        <x:v>5</x:v>
      </x:c>
      <x:c r="M8" s="68" t="n">
        <x:v>1</x:v>
      </x:c>
      <x:c r="N8" s="68" t="n">
        <x:f>IF(OR(J8="",M8=""),"",J8*M8)</x:f>
        <x:v>10</x:v>
      </x:c>
      <x:c r="O8" s="68" t="n">
        <x:f>IF(OR(L8="",M8=""),"",L8-M8)</x:f>
        <x:v>4</x:v>
      </x:c>
      <x:c r="P8" s="67" t="n">
        <x:v>1</x:v>
      </x:c>
      <x:c r="Q8" s="67" t="str">
        <x:v>True</x:v>
      </x:c>
      <x:c r="R8" s="54" t="str">
        <x:v>新規条件のみ成立するためalert_type=1となる。</x:v>
      </x:c>
    </x:row>
    <x:row r="9" ht="66" customHeight="1">
      <x:c r="A9" s="112" t="str">
        <x:v>TD-002</x:v>
      </x:c>
      <x:c r="B9" s="54" t="str">
        <x:v>JUD-002</x:v>
      </x:c>
      <x:c r="C9" s="54" t="str">
        <x:v>S1</x:v>
      </x:c>
      <x:c r="D9" s="54" t="str">
        <x:v>G1</x:v>
      </x:c>
      <x:c r="E9" s="54" t="str">
        <x:v>E002</x:v>
      </x:c>
      <x:c r="F9" s="54" t="str">
        <x:v>急増条件だけが成立</x:v>
      </x:c>
      <x:c r="G9" s="54" t="str">
        <x:v>新規条件は成立させず、倍率条件と増加件数条件を両方満たす。</x:v>
      </x:c>
      <x:c r="H9" s="68" t="n">
        <x:v>20</x:v>
      </x:c>
      <x:c r="I9" s="68" t="n">
        <x:v>0</x:v>
      </x:c>
      <x:c r="J9" s="68" t="n">
        <x:v>2</x:v>
      </x:c>
      <x:c r="K9" s="68" t="n">
        <x:v>6</x:v>
      </x:c>
      <x:c r="L9" s="68" t="n">
        <x:v>10</x:v>
      </x:c>
      <x:c r="M9" s="68" t="n">
        <x:v>4</x:v>
      </x:c>
      <x:c r="N9" s="68" t="n">
        <x:f>IF(OR(J9="",M9=""),"",J9*M9)</x:f>
        <x:v>8</x:v>
      </x:c>
      <x:c r="O9" s="68" t="n">
        <x:f>IF(OR(L9="",M9=""),"",L9-M9)</x:f>
        <x:v>6</x:v>
      </x:c>
      <x:c r="P9" s="67" t="n">
        <x:v>2</x:v>
      </x:c>
      <x:c r="Q9" s="67" t="str">
        <x:v>True</x:v>
      </x:c>
      <x:c r="R9" s="54" t="str">
        <x:v>判定日10件は倍率基準8件以上、増加6件はD以上のためalert_type=2となる。</x:v>
      </x:c>
    </x:row>
    <x:row r="10" ht="66" customHeight="1">
      <x:c r="A10" s="112" t="str">
        <x:v>TD-003</x:v>
      </x:c>
      <x:c r="B10" s="54" t="str">
        <x:v>JUD-003</x:v>
      </x:c>
      <x:c r="C10" s="54" t="str">
        <x:v>S1</x:v>
      </x:c>
      <x:c r="D10" s="54" t="str">
        <x:v>G1</x:v>
      </x:c>
      <x:c r="E10" s="54" t="str">
        <x:v>E003</x:v>
      </x:c>
      <x:c r="F10" s="54" t="str">
        <x:v>新規・急増が同時成立</x:v>
      </x:c>
      <x:c r="G10" s="54" t="str">
        <x:v>新規の2条件と急増の2条件をすべて満たす。</x:v>
      </x:c>
      <x:c r="H10" s="68" t="n">
        <x:v>5</x:v>
      </x:c>
      <x:c r="I10" s="68" t="n">
        <x:v>1</x:v>
      </x:c>
      <x:c r="J10" s="68" t="n">
        <x:v>3</x:v>
      </x:c>
      <x:c r="K10" s="68" t="n">
        <x:v>5</x:v>
      </x:c>
      <x:c r="L10" s="68" t="n">
        <x:v>10</x:v>
      </x:c>
      <x:c r="M10" s="68" t="n">
        <x:v>1</x:v>
      </x:c>
      <x:c r="N10" s="68" t="n">
        <x:f>IF(OR(J10="",M10=""),"",J10*M10)</x:f>
        <x:v>3</x:v>
      </x:c>
      <x:c r="O10" s="68" t="n">
        <x:f>IF(OR(L10="",M10=""),"",L10-M10)</x:f>
        <x:v>9</x:v>
      </x:c>
      <x:c r="P10" s="67" t="n">
        <x:v>3</x:v>
      </x:c>
      <x:c r="Q10" s="67" t="str">
        <x:v>True</x:v>
      </x:c>
      <x:c r="R10" s="54" t="str">
        <x:v>両判定が成立するためalert_type=3となる。</x:v>
      </x:c>
    </x:row>
    <x:row r="11" ht="66" customHeight="1">
      <x:c r="A11" s="112" t="str">
        <x:v>TD-004</x:v>
      </x:c>
      <x:c r="B11" s="54" t="str">
        <x:v>JUD-004</x:v>
      </x:c>
      <x:c r="C11" s="54" t="str">
        <x:v>S1</x:v>
      </x:c>
      <x:c r="D11" s="54" t="str">
        <x:v>G1</x:v>
      </x:c>
      <x:c r="E11" s="54" t="str">
        <x:v>E004</x:v>
      </x:c>
      <x:c r="F11" s="54" t="str">
        <x:v>アラート条件が不成立</x:v>
      </x:c>
      <x:c r="G11" s="54" t="str">
        <x:v>新規条件と急増条件のどちらも成立しない値にする。</x:v>
      </x:c>
      <x:c r="H11" s="68" t="n">
        <x:v>5</x:v>
      </x:c>
      <x:c r="I11" s="68" t="n">
        <x:v>1</x:v>
      </x:c>
      <x:c r="J11" s="68" t="n">
        <x:v>3</x:v>
      </x:c>
      <x:c r="K11" s="68" t="n">
        <x:v>5</x:v>
      </x:c>
      <x:c r="L11" s="68" t="n">
        <x:v>4</x:v>
      </x:c>
      <x:c r="M11" s="68" t="n">
        <x:v>3</x:v>
      </x:c>
      <x:c r="N11" s="68" t="n">
        <x:f>IF(OR(J11="",M11=""),"",J11*M11)</x:f>
        <x:v>9</x:v>
      </x:c>
      <x:c r="O11" s="68" t="n">
        <x:f>IF(OR(L11="",M11=""),"",L11-M11)</x:f>
        <x:v>1</x:v>
      </x:c>
      <x:c r="P11" s="67" t="n">
        <x:v>0</x:v>
      </x:c>
      <x:c r="Q11" s="67" t="str">
        <x:v>False</x:v>
      </x:c>
      <x:c r="R11" s="54" t="str">
        <x:v>新規・急増とも不成立のためalert_type=0となる。</x:v>
      </x:c>
    </x:row>
    <x:row r="12" ht="66" customHeight="1">
      <x:c r="A12" s="112" t="str">
        <x:v>TD-005</x:v>
      </x:c>
      <x:c r="B12" s="54" t="str">
        <x:v>BND-001</x:v>
      </x:c>
      <x:c r="C12" s="54" t="str">
        <x:v>S1</x:v>
      </x:c>
      <x:c r="D12" s="54" t="str">
        <x:v>G1</x:v>
      </x:c>
      <x:c r="E12" s="54" t="str">
        <x:v>E005</x:v>
      </x:c>
      <x:c r="F12" s="54" t="str">
        <x:v>閾値Aの等号境界</x:v>
      </x:c>
      <x:c r="G12" s="54" t="str">
        <x:v>判定日件数を閾値Aと同じ5件にし、『A以上』が等号を含むことを確認する。過去平均はB以下とする。</x:v>
      </x:c>
      <x:c r="H12" s="68" t="n">
        <x:v>5</x:v>
      </x:c>
      <x:c r="I12" s="68" t="n">
        <x:v>1</x:v>
      </x:c>
      <x:c r="J12" s="68" t="n">
        <x:v>10</x:v>
      </x:c>
      <x:c r="K12" s="68" t="n">
        <x:v>10</x:v>
      </x:c>
      <x:c r="L12" s="68" t="n">
        <x:v>5</x:v>
      </x:c>
      <x:c r="M12" s="68" t="n">
        <x:v>0.5</x:v>
      </x:c>
      <x:c r="N12" s="68" t="n">
        <x:f>IF(OR(J12="",M12=""),"",J12*M12)</x:f>
        <x:v>5</x:v>
      </x:c>
      <x:c r="O12" s="68" t="n">
        <x:f>IF(OR(L12="",M12=""),"",L12-M12)</x:f>
        <x:v>4.5</x:v>
      </x:c>
      <x:c r="P12" s="67" t="n">
        <x:v>1</x:v>
      </x:c>
      <x:c r="Q12" s="67" t="str">
        <x:v>True</x:v>
      </x:c>
      <x:c r="R12" s="54" t="str">
        <x:v>判定日件数がAと同値でも新規条件が成立し、alert_type=1となる。</x:v>
      </x:c>
    </x:row>
    <x:row r="13" ht="66" customHeight="1">
      <x:c r="A13" s="112" t="str">
        <x:v>TD-006</x:v>
      </x:c>
      <x:c r="B13" s="54" t="str">
        <x:v>BND-002</x:v>
      </x:c>
      <x:c r="C13" s="54" t="str">
        <x:v>S1</x:v>
      </x:c>
      <x:c r="D13" s="54" t="str">
        <x:v>G1</x:v>
      </x:c>
      <x:c r="E13" s="54" t="str">
        <x:v>E006</x:v>
      </x:c>
      <x:c r="F13" s="54" t="str">
        <x:v>閾値Bの等号境界</x:v>
      </x:c>
      <x:c r="G13" s="54" t="str">
        <x:v>過去7日平均を閾値Bと同じ1件にし、『B以下』が等号を含むことを確認する。判定日件数はA以上とする。</x:v>
      </x:c>
      <x:c r="H13" s="68" t="n">
        <x:v>5</x:v>
      </x:c>
      <x:c r="I13" s="68" t="n">
        <x:v>1</x:v>
      </x:c>
      <x:c r="J13" s="68" t="n">
        <x:v>10</x:v>
      </x:c>
      <x:c r="K13" s="68" t="n">
        <x:v>10</x:v>
      </x:c>
      <x:c r="L13" s="68" t="n">
        <x:v>6</x:v>
      </x:c>
      <x:c r="M13" s="68" t="n">
        <x:v>1</x:v>
      </x:c>
      <x:c r="N13" s="68" t="n">
        <x:f>IF(OR(J13="",M13=""),"",J13*M13)</x:f>
        <x:v>10</x:v>
      </x:c>
      <x:c r="O13" s="68" t="n">
        <x:f>IF(OR(L13="",M13=""),"",L13-M13)</x:f>
        <x:v>5</x:v>
      </x:c>
      <x:c r="P13" s="67" t="n">
        <x:v>1</x:v>
      </x:c>
      <x:c r="Q13" s="67" t="str">
        <x:v>True</x:v>
      </x:c>
      <x:c r="R13" s="54" t="str">
        <x:v>過去7日平均がBと同値でも新規条件が成立し、alert_type=1となる。</x:v>
      </x:c>
    </x:row>
    <x:row r="14" ht="66" customHeight="1">
      <x:c r="A14" s="112" t="str">
        <x:v>TD-007</x:v>
      </x:c>
      <x:c r="B14" s="54" t="str">
        <x:v>BND-003</x:v>
      </x:c>
      <x:c r="C14" s="54" t="str">
        <x:v>S1</x:v>
      </x:c>
      <x:c r="D14" s="54" t="str">
        <x:v>G1</x:v>
      </x:c>
      <x:c r="E14" s="54" t="str">
        <x:v>E007</x:v>
      </x:c>
      <x:c r="F14" s="54" t="str">
        <x:v>急増判定の等号境界</x:v>
      </x:c>
      <x:c r="G14" s="54" t="str">
        <x:v>判定日件数10件を『平均4件×C2.5=10件』と同値にし、増加件数6件もDと同値にする。</x:v>
      </x:c>
      <x:c r="H14" s="68" t="n">
        <x:v>20</x:v>
      </x:c>
      <x:c r="I14" s="68" t="n">
        <x:v>0</x:v>
      </x:c>
      <x:c r="J14" s="68" t="n">
        <x:v>2.5</x:v>
      </x:c>
      <x:c r="K14" s="68" t="n">
        <x:v>6</x:v>
      </x:c>
      <x:c r="L14" s="68" t="n">
        <x:v>10</x:v>
      </x:c>
      <x:c r="M14" s="68" t="n">
        <x:v>4</x:v>
      </x:c>
      <x:c r="N14" s="68" t="n">
        <x:f>IF(OR(J14="",M14=""),"",J14*M14)</x:f>
        <x:v>10</x:v>
      </x:c>
      <x:c r="O14" s="68" t="n">
        <x:f>IF(OR(L14="",M14=""),"",L14-M14)</x:f>
        <x:v>6</x:v>
      </x:c>
      <x:c r="P14" s="67" t="n">
        <x:v>2</x:v>
      </x:c>
      <x:c r="Q14" s="67" t="str">
        <x:v>True</x:v>
      </x:c>
      <x:c r="R14" s="54" t="str">
        <x:v>倍率条件と増加件数条件はともに『以上』のため、両方が同値でも急増が成立しalert_type=2となる。</x:v>
      </x:c>
    </x:row>
    <x:row r="15" ht="66" customHeight="1">
      <x:c r="A15" s="112" t="str">
        <x:v>TD-008</x:v>
      </x:c>
      <x:c r="B15" s="54" t="str">
        <x:v>BND-004</x:v>
      </x:c>
      <x:c r="C15" s="54" t="str">
        <x:v>S1</x:v>
      </x:c>
      <x:c r="D15" s="54" t="str">
        <x:v>G1</x:v>
      </x:c>
      <x:c r="E15" s="54" t="str">
        <x:v>E008</x:v>
      </x:c>
      <x:c r="F15" s="54" t="str">
        <x:v>閾値Aの直下</x:v>
      </x:c>
      <x:c r="G15" s="54" t="str">
        <x:v>判定日件数をAより1件少ない4件にし、新規条件が成立しないことを確認する。</x:v>
      </x:c>
      <x:c r="H15" s="68" t="n">
        <x:v>5</x:v>
      </x:c>
      <x:c r="I15" s="68" t="n">
        <x:v>1</x:v>
      </x:c>
      <x:c r="J15" s="68" t="n">
        <x:v>10</x:v>
      </x:c>
      <x:c r="K15" s="68" t="n">
        <x:v>10</x:v>
      </x:c>
      <x:c r="L15" s="68" t="n">
        <x:v>4</x:v>
      </x:c>
      <x:c r="M15" s="68" t="n">
        <x:v>0.5</x:v>
      </x:c>
      <x:c r="N15" s="68" t="n">
        <x:f>IF(OR(J15="",M15=""),"",J15*M15)</x:f>
        <x:v>5</x:v>
      </x:c>
      <x:c r="O15" s="68" t="n">
        <x:f>IF(OR(L15="",M15=""),"",L15-M15)</x:f>
        <x:v>3.5</x:v>
      </x:c>
      <x:c r="P15" s="67" t="n">
        <x:v>0</x:v>
      </x:c>
      <x:c r="Q15" s="67" t="str">
        <x:v>False</x:v>
      </x:c>
      <x:c r="R15" s="54" t="str">
        <x:v>判定日件数がA未満のため新規条件は成立しない。</x:v>
      </x:c>
    </x:row>
    <x:row r="16" ht="66" customHeight="1">
      <x:c r="A16" s="112" t="str">
        <x:v>TD-009</x:v>
      </x:c>
      <x:c r="B16" s="54" t="str">
        <x:v>BND-005</x:v>
      </x:c>
      <x:c r="C16" s="54" t="str">
        <x:v>S1</x:v>
      </x:c>
      <x:c r="D16" s="54" t="str">
        <x:v>G1</x:v>
      </x:c>
      <x:c r="E16" s="54" t="str">
        <x:v>E009</x:v>
      </x:c>
      <x:c r="F16" s="54" t="str">
        <x:v>閾値Bの直上</x:v>
      </x:c>
      <x:c r="G16" s="54" t="str">
        <x:v>過去7日平均をBより0.01大きい1.01件にし、新規条件が成立しないことを確認する。</x:v>
      </x:c>
      <x:c r="H16" s="68" t="n">
        <x:v>5</x:v>
      </x:c>
      <x:c r="I16" s="68" t="n">
        <x:v>1</x:v>
      </x:c>
      <x:c r="J16" s="68" t="n">
        <x:v>10</x:v>
      </x:c>
      <x:c r="K16" s="68" t="n">
        <x:v>10</x:v>
      </x:c>
      <x:c r="L16" s="68" t="n">
        <x:v>6</x:v>
      </x:c>
      <x:c r="M16" s="68" t="n">
        <x:v>1.01</x:v>
      </x:c>
      <x:c r="N16" s="68" t="n">
        <x:f>IF(OR(J16="",M16=""),"",J16*M16)</x:f>
        <x:v>10.1</x:v>
      </x:c>
      <x:c r="O16" s="68" t="n">
        <x:f>IF(OR(L16="",M16=""),"",L16-M16)</x:f>
        <x:v>4.99</x:v>
      </x:c>
      <x:c r="P16" s="67" t="n">
        <x:v>0</x:v>
      </x:c>
      <x:c r="Q16" s="67" t="str">
        <x:v>False</x:v>
      </x:c>
      <x:c r="R16" s="54" t="str">
        <x:v>過去7日平均がBを上回るため新規条件は成立しない。</x:v>
      </x:c>
    </x:row>
    <x:row r="17" ht="66" customHeight="1">
      <x:c r="A17" s="112" t="str">
        <x:v>TD-010</x:v>
      </x:c>
      <x:c r="B17" s="54" t="str">
        <x:v>BND-006</x:v>
      </x:c>
      <x:c r="C17" s="54" t="str">
        <x:v>S1</x:v>
      </x:c>
      <x:c r="D17" s="54" t="str">
        <x:v>G1</x:v>
      </x:c>
      <x:c r="E17" s="54" t="str">
        <x:v>E010</x:v>
      </x:c>
      <x:c r="F17" s="54" t="str">
        <x:v>急増倍率基準の直下</x:v>
      </x:c>
      <x:c r="G17" s="54" t="str">
        <x:v>増加件数はD以上だが、判定日件数9件を倍率基準10件より小さくする。</x:v>
      </x:c>
      <x:c r="H17" s="68" t="n">
        <x:v>20</x:v>
      </x:c>
      <x:c r="I17" s="68" t="n">
        <x:v>0</x:v>
      </x:c>
      <x:c r="J17" s="68" t="n">
        <x:v>2.5</x:v>
      </x:c>
      <x:c r="K17" s="68" t="n">
        <x:v>5</x:v>
      </x:c>
      <x:c r="L17" s="68" t="n">
        <x:v>9</x:v>
      </x:c>
      <x:c r="M17" s="68" t="n">
        <x:v>4</x:v>
      </x:c>
      <x:c r="N17" s="68" t="n">
        <x:f>IF(OR(J17="",M17=""),"",J17*M17)</x:f>
        <x:v>10</x:v>
      </x:c>
      <x:c r="O17" s="68" t="n">
        <x:f>IF(OR(L17="",M17=""),"",L17-M17)</x:f>
        <x:v>5</x:v>
      </x:c>
      <x:c r="P17" s="67" t="n">
        <x:v>0</x:v>
      </x:c>
      <x:c r="Q17" s="67" t="str">
        <x:v>False</x:v>
      </x:c>
      <x:c r="R17" s="54" t="str">
        <x:v>増加件数条件だけ成立し、倍率条件が不成立のため急増にはならない。</x:v>
      </x:c>
    </x:row>
    <x:row r="18" ht="66" customHeight="1">
      <x:c r="A18" s="112" t="str">
        <x:v>TD-011</x:v>
      </x:c>
      <x:c r="B18" s="54" t="str">
        <x:v>BND-007</x:v>
      </x:c>
      <x:c r="C18" s="54" t="str">
        <x:v>S1</x:v>
      </x:c>
      <x:c r="D18" s="54" t="str">
        <x:v>G1</x:v>
      </x:c>
      <x:c r="E18" s="54" t="str">
        <x:v>E011</x:v>
      </x:c>
      <x:c r="F18" s="54" t="str">
        <x:v>増加件数Dの直下</x:v>
      </x:c>
      <x:c r="G18" s="54" t="str">
        <x:v>倍率条件は成立させるが、増加件数6件をD7件より小さくする。</x:v>
      </x:c>
      <x:c r="H18" s="68" t="n">
        <x:v>20</x:v>
      </x:c>
      <x:c r="I18" s="68" t="n">
        <x:v>0</x:v>
      </x:c>
      <x:c r="J18" s="68" t="n">
        <x:v>2</x:v>
      </x:c>
      <x:c r="K18" s="68" t="n">
        <x:v>7</x:v>
      </x:c>
      <x:c r="L18" s="68" t="n">
        <x:v>10</x:v>
      </x:c>
      <x:c r="M18" s="68" t="n">
        <x:v>4</x:v>
      </x:c>
      <x:c r="N18" s="68" t="n">
        <x:f>IF(OR(J18="",M18=""),"",J18*M18)</x:f>
        <x:v>8</x:v>
      </x:c>
      <x:c r="O18" s="68" t="n">
        <x:f>IF(OR(L18="",M18=""),"",L18-M18)</x:f>
        <x:v>6</x:v>
      </x:c>
      <x:c r="P18" s="67" t="n">
        <x:v>0</x:v>
      </x:c>
      <x:c r="Q18" s="67" t="str">
        <x:v>False</x:v>
      </x:c>
      <x:c r="R18" s="54" t="str">
        <x:v>倍率条件だけ成立し、増加件数条件が不成立のため急増にはならない。</x:v>
      </x:c>
    </x:row>
    <x:row r="19" ht="66" customHeight="1">
      <x:c r="A19" s="112" t="str">
        <x:v>TD-012</x:v>
      </x:c>
      <x:c r="B19" s="54" t="str">
        <x:v>DAT-001</x:v>
      </x:c>
      <x:c r="C19" s="54" t="str">
        <x:v>S1</x:v>
      </x:c>
      <x:c r="D19" s="54" t="str">
        <x:v>G1</x:v>
      </x:c>
      <x:c r="E19" s="54" t="str">
        <x:v>E012</x:v>
      </x:c>
      <x:c r="F19" s="54" t="str">
        <x:v>閾値NULLの扱い</x:v>
      </x:c>
      <x:c r="G19" s="54" t="str">
        <x:v>閾値AをNULLにし、設定不備の行が判定結果から除外されることを確認する。</x:v>
      </x:c>
      <x:c r="H19" s="68"/>
      <x:c r="I19" s="68" t="n">
        <x:v>1</x:v>
      </x:c>
      <x:c r="J19" s="68" t="n">
        <x:v>2</x:v>
      </x:c>
      <x:c r="K19" s="68" t="n">
        <x:v>5</x:v>
      </x:c>
      <x:c r="L19" s="68" t="n">
        <x:v>10</x:v>
      </x:c>
      <x:c r="M19" s="68" t="n">
        <x:v>1</x:v>
      </x:c>
      <x:c r="N19" s="68" t="n">
        <x:f>IF(OR(J19="",M19=""),"",J19*M19)</x:f>
        <x:v>2</x:v>
      </x:c>
      <x:c r="O19" s="68" t="n">
        <x:f>IF(OR(L19="",M19=""),"",L19-M19)</x:f>
        <x:v>9</x:v>
      </x:c>
      <x:c r="P19" s="67" t="str">
        <x:v>―</x:v>
      </x:c>
      <x:c r="Q19" s="67" t="str">
        <x:v>―</x:v>
      </x:c>
      <x:c r="R19" s="54" t="str">
        <x:v>結果行は作成されず、警告ログに対象キーとスキップ件数が記録される。</x:v>
      </x:c>
    </x:row>
    <x:row r="20" ht="66" customHeight="1">
      <x:c r="A20" s="112" t="str">
        <x:v>TD-013-1</x:v>
      </x:c>
      <x:c r="B20" s="54" t="str">
        <x:v>DAT-002</x:v>
      </x:c>
      <x:c r="C20" s="54" t="str">
        <x:v>S1</x:v>
      </x:c>
      <x:c r="D20" s="54" t="str">
        <x:v>G1</x:v>
      </x:c>
      <x:c r="E20" s="54" t="str">
        <x:v>E013</x:v>
      </x:c>
      <x:c r="F20" s="54" t="str">
        <x:v>グループ1：新規</x:v>
      </x:c>
      <x:c r="G20" s="54" t="str">
        <x:v>機種S1・ガスG1の組合せで新規条件だけを成立させる。</x:v>
      </x:c>
      <x:c r="H20" s="68" t="n">
        <x:v>5</x:v>
      </x:c>
      <x:c r="I20" s="68" t="n">
        <x:v>1</x:v>
      </x:c>
      <x:c r="J20" s="68" t="n">
        <x:v>10</x:v>
      </x:c>
      <x:c r="K20" s="68" t="n">
        <x:v>10</x:v>
      </x:c>
      <x:c r="L20" s="68" t="n">
        <x:v>5</x:v>
      </x:c>
      <x:c r="M20" s="68" t="n">
        <x:v>1</x:v>
      </x:c>
      <x:c r="N20" s="68" t="n">
        <x:f>IF(OR(J20="",M20=""),"",J20*M20)</x:f>
        <x:v>10</x:v>
      </x:c>
      <x:c r="O20" s="68" t="n">
        <x:f>IF(OR(L20="",M20=""),"",L20-M20)</x:f>
        <x:v>4</x:v>
      </x:c>
      <x:c r="P20" s="67" t="n">
        <x:v>1</x:v>
      </x:c>
      <x:c r="Q20" s="67" t="str">
        <x:v>True</x:v>
      </x:c>
      <x:c r="R20" s="54" t="str">
        <x:v>グループ1はalert_type=1となる。</x:v>
      </x:c>
    </x:row>
    <x:row r="21" ht="66" customHeight="1">
      <x:c r="A21" s="112" t="str">
        <x:v>TD-013-2</x:v>
      </x:c>
      <x:c r="B21" s="54" t="str">
        <x:v>DAT-002</x:v>
      </x:c>
      <x:c r="C21" s="54" t="str">
        <x:v>S2</x:v>
      </x:c>
      <x:c r="D21" s="54" t="str">
        <x:v>G1</x:v>
      </x:c>
      <x:c r="E21" s="54" t="str">
        <x:v>E013</x:v>
      </x:c>
      <x:c r="F21" s="54" t="str">
        <x:v>グループ2：アラートなし</x:v>
      </x:c>
      <x:c r="G21" s="54" t="str">
        <x:v>機種だけをS2へ変え、アラート条件が成立しない値にする。</x:v>
      </x:c>
      <x:c r="H21" s="68" t="n">
        <x:v>5</x:v>
      </x:c>
      <x:c r="I21" s="68" t="n">
        <x:v>1</x:v>
      </x:c>
      <x:c r="J21" s="68" t="n">
        <x:v>3</x:v>
      </x:c>
      <x:c r="K21" s="68" t="n">
        <x:v>5</x:v>
      </x:c>
      <x:c r="L21" s="68" t="n">
        <x:v>4</x:v>
      </x:c>
      <x:c r="M21" s="68" t="n">
        <x:v>3</x:v>
      </x:c>
      <x:c r="N21" s="68" t="n">
        <x:f>IF(OR(J21="",M21=""),"",J21*M21)</x:f>
        <x:v>9</x:v>
      </x:c>
      <x:c r="O21" s="68" t="n">
        <x:f>IF(OR(L21="",M21=""),"",L21-M21)</x:f>
        <x:v>1</x:v>
      </x:c>
      <x:c r="P21" s="67" t="n">
        <x:v>0</x:v>
      </x:c>
      <x:c r="Q21" s="67" t="str">
        <x:v>False</x:v>
      </x:c>
      <x:c r="R21" s="54" t="str">
        <x:v>グループ2はalert_type=0となる。</x:v>
      </x:c>
    </x:row>
    <x:row r="22" ht="66" customHeight="1">
      <x:c r="A22" s="112" t="str">
        <x:v>TD-013-3</x:v>
      </x:c>
      <x:c r="B22" s="54" t="str">
        <x:v>DAT-002</x:v>
      </x:c>
      <x:c r="C22" s="54" t="str">
        <x:v>S1</x:v>
      </x:c>
      <x:c r="D22" s="54" t="str">
        <x:v>G2</x:v>
      </x:c>
      <x:c r="E22" s="54" t="str">
        <x:v>E014</x:v>
      </x:c>
      <x:c r="F22" s="54" t="str">
        <x:v>グループ3：急増</x:v>
      </x:c>
      <x:c r="G22" s="54" t="str">
        <x:v>ガス種をG2へ変え、急増条件だけを成立させる。</x:v>
      </x:c>
      <x:c r="H22" s="68" t="n">
        <x:v>20</x:v>
      </x:c>
      <x:c r="I22" s="68" t="n">
        <x:v>0</x:v>
      </x:c>
      <x:c r="J22" s="68" t="n">
        <x:v>2</x:v>
      </x:c>
      <x:c r="K22" s="68" t="n">
        <x:v>6</x:v>
      </x:c>
      <x:c r="L22" s="68" t="n">
        <x:v>10</x:v>
      </x:c>
      <x:c r="M22" s="68" t="n">
        <x:v>4</x:v>
      </x:c>
      <x:c r="N22" s="68" t="n">
        <x:f>IF(OR(J22="",M22=""),"",J22*M22)</x:f>
        <x:v>8</x:v>
      </x:c>
      <x:c r="O22" s="68" t="n">
        <x:f>IF(OR(L22="",M22=""),"",L22-M22)</x:f>
        <x:v>6</x:v>
      </x:c>
      <x:c r="P22" s="67" t="n">
        <x:v>2</x:v>
      </x:c>
      <x:c r="Q22" s="67" t="str">
        <x:v>True</x:v>
      </x:c>
      <x:c r="R22" s="54" t="str">
        <x:v>グループ3はalert_type=2となる。</x:v>
      </x:c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</x:row>
    <x:row r="25">
      <x:c r="A25" s="105" t="str">
        <x:v>期間・運用系テストデータ</x:v>
      </x:c>
      <x:c r="B25" s="106"/>
      <x:c r="C25" s="106"/>
      <x:c r="D25" s="106"/>
      <x:c r="E25" s="106"/>
      <x:c r="F25" s="106"/>
      <x:c r="G25" s="106"/>
      <x:c r="H25" s="107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</x:row>
    <x:row r="26" ht="40" customHeight="1">
      <x:c r="A26" s="108" t="str">
        <x:v>データID</x:v>
      </x:c>
      <x:c r="B26" s="108" t="str">
        <x:v>対応ケース</x:v>
      </x:c>
      <x:c r="C26" s="108" t="str">
        <x:v>実行日（JST）</x:v>
      </x:c>
      <x:c r="D26" s="108" t="str">
        <x:v>判定対象日</x:v>
      </x:c>
      <x:c r="E26" s="108" t="str">
        <x:v>再計算対象期間</x:v>
      </x:c>
      <x:c r="F26" s="108" t="str">
        <x:v>入力・事前状態</x:v>
      </x:c>
      <x:c r="G26" s="108" t="str">
        <x:v>確認観点</x:v>
      </x:c>
      <x:c r="H26" s="108" t="str">
        <x:v>期待結果</x:v>
      </x:c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</x:row>
    <x:row r="27" ht="58" customHeight="1">
      <x:c r="A27" s="112" t="str">
        <x:v>OD-001</x:v>
      </x:c>
      <x:c r="B27" s="54" t="str">
        <x:v>FNC-002</x:v>
      </x:c>
      <x:c r="C27" s="55" t="n">
        <x:v>46249</x:v>
      </x:c>
      <x:c r="D27" s="55" t="n">
        <x:v>46246</x:v>
      </x:c>
      <x:c r="E27" s="54" t="str">
        <x:v>2026-07-01～2026-08-12</x:v>
      </x:c>
      <x:c r="F27" s="54" t="str">
        <x:v>期間内外に識別用の既存結果を登録</x:v>
      </x:c>
      <x:c r="G27" s="54" t="str">
        <x:v>通常月の再計算範囲と期間外保持</x:v>
      </x:c>
      <x:c r="H27" s="54" t="str">
        <x:v>期間内だけ再計算され、期間外は変更されない</x:v>
      </x:c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</x:row>
    <x:row r="28" ht="58" customHeight="1">
      <x:c r="A28" s="112" t="str">
        <x:v>OD-002</x:v>
      </x:c>
      <x:c r="B28" s="54" t="str">
        <x:v>FNC-003</x:v>
      </x:c>
      <x:c r="C28" s="55" t="n">
        <x:v>46032</x:v>
      </x:c>
      <x:c r="D28" s="55" t="n">
        <x:v>46029</x:v>
      </x:c>
      <x:c r="E28" s="54" t="str">
        <x:v>2025-12-01～2026-01-07</x:v>
      </x:c>
      <x:c r="F28" s="54" t="str">
        <x:v>2025年11月～2026年1月に識別用の既存結果を登録</x:v>
      </x:c>
      <x:c r="G28" s="54" t="str">
        <x:v>年跨ぎの再計算範囲</x:v>
      </x:c>
      <x:c r="H28" s="54" t="str">
        <x:v>2025年12月以降だけ再計算され、11月は変更されない</x:v>
      </x:c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</x:row>
    <x:row r="29" ht="58" customHeight="1">
      <x:c r="A29" s="112" t="str">
        <x:v>OD-003</x:v>
      </x:c>
      <x:c r="B29" s="54" t="str">
        <x:v>FNC-005</x:v>
      </x:c>
      <x:c r="C29" s="54" t="str">
        <x:v>実施日</x:v>
      </x:c>
      <x:c r="D29" s="54" t="str">
        <x:v>実施日－3日</x:v>
      </x:c>
      <x:c r="E29" s="54" t="str">
        <x:v>判定対象日の前月1日～判定対象日</x:v>
      </x:c>
      <x:c r="F29" s="54" t="str">
        <x:v>対象期間の入力データなし</x:v>
      </x:c>
      <x:c r="G29" s="54" t="str">
        <x:v>対象データなしでの正常終了</x:v>
      </x:c>
      <x:c r="H29" s="54" t="str">
        <x:v>新規結果を登録せず正常終了する</x:v>
      </x:c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</x:row>
    <x:row r="30" ht="58" customHeight="1">
      <x:c r="A30" s="112" t="str">
        <x:v>OD-004</x:v>
      </x:c>
      <x:c r="B30" s="54" t="str">
        <x:v>FNC-006</x:v>
      </x:c>
      <x:c r="C30" s="54" t="str">
        <x:v>実施日</x:v>
      </x:c>
      <x:c r="D30" s="54" t="str">
        <x:v>実施日－3日</x:v>
      </x:c>
      <x:c r="E30" s="54" t="str">
        <x:v>判定対象日の前月1日～判定対象日</x:v>
      </x:c>
      <x:c r="F30" s="54" t="str">
        <x:v>1回目の結果を残し、入力・閾値を変更しない</x:v>
      </x:c>
      <x:c r="G30" s="54" t="str">
        <x:v>同一条件再実行時の整合性</x:v>
      </x:c>
      <x:c r="H30" s="54" t="str">
        <x:v>1回目と2回目の結果が一致し、重複しない</x:v>
      </x:c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</x:row>
    <x:row r="31" ht="58" customHeight="1">
      <x:c r="A31" s="112" t="str">
        <x:v>OD-005</x:v>
      </x:c>
      <x:c r="B31" s="54" t="str">
        <x:v>ERR-001</x:v>
      </x:c>
      <x:c r="C31" s="54" t="str">
        <x:v>実施日</x:v>
      </x:c>
      <x:c r="D31" s="54" t="str">
        <x:v>―</x:v>
      </x:c>
      <x:c r="E31" s="54" t="str">
        <x:v>―</x:v>
      </x:c>
      <x:c r="F31" s="54" t="str">
        <x:v>安全な方法で参照DBまたはSQL実行を失敗させる</x:v>
      </x:c>
      <x:c r="G31" s="54" t="str">
        <x:v>異常終了と監視検知</x:v>
      </x:c>
      <x:c r="H31" s="54" t="str">
        <x:v>ジョブが異常終了し、エラー内容を追跡できる</x:v>
      </x:c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</x:row>
    <x:row r="32" ht="58" customHeight="1">
      <x:c r="A32" s="112" t="str">
        <x:v>OD-006</x:v>
      </x:c>
      <x:c r="B32" s="54" t="str">
        <x:v>FNC-004</x:v>
      </x:c>
      <x:c r="C32" s="55" t="n">
        <x:v>46249</x:v>
      </x:c>
      <x:c r="D32" s="55" t="n">
        <x:v>46246</x:v>
      </x:c>
      <x:c r="E32" s="54" t="str">
        <x:v>比較期間：2026-08-05～2026-08-11</x:v>
      </x:c>
      <x:c r="F32" s="54" t="str">
        <x:v>比較期間の日別件数=2,4,6,8,10,12,14（平均8）。2026-08-04以前は100件を登録</x:v>
      </x:c>
      <x:c r="G32" s="54" t="str">
        <x:v>直前7日だけで平均を算出</x:v>
      </x:c>
      <x:c r="H32" s="54" t="str">
        <x:v>count_comparison_avg=8.00となり、2026-08-04以前の100件は含まれない</x:v>
      </x:c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</x:row>
  </x:sheetData>
  <x:mergeCells>
    <x:mergeCell ref="A1:R2"/>
    <x:mergeCell ref="A3:R4"/>
    <x:mergeCell ref="A5:R5"/>
    <x:mergeCell ref="A25:H25"/>
  </x:mergeCells>
  <x:pageMargins left="0.7" right="0.7" top="0.75" bottom="0.75" header="0.3" footer="0.3"/>
  <x:tableParts count="2">
    <x:tablePart xmlns:r="http://schemas.openxmlformats.org/officeDocument/2006/relationships" r:id="R438b12989f47460f"/>
    <x:tablePart xmlns:r="http://schemas.openxmlformats.org/officeDocument/2006/relationships" r:id="Rf60edbd727f543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54" hidden="0" customWidth="1"/>
    <x:col min="4" max="4" width="58" hidden="0" customWidth="1"/>
    <x:col min="5" max="5" width="52" hidden="0" customWidth="1"/>
    <x:col min="6" max="6" width="14" hidden="0" customWidth="1"/>
    <x:col min="7" max="7" width="38" hidden="0" customWidth="1"/>
  </x:cols>
  <x:sheetData>
    <x:row r="1" ht="32" customHeight="1">
      <x:c r="A1" s="103" t="str">
        <x:v>仕様確認事項・リスク</x:v>
      </x:c>
      <x:c r="B1" s="52"/>
      <x:c r="C1" s="52"/>
      <x:c r="D1" s="52"/>
      <x:c r="E1" s="52"/>
      <x:c r="F1" s="52"/>
      <x:c r="G1" s="52"/>
    </x:row>
    <x:row r="2" ht="32" customHeight="1">
      <x:c r="A2" s="52"/>
      <x:c r="B2" s="52"/>
      <x:c r="C2" s="52"/>
      <x:c r="D2" s="52"/>
      <x:c r="E2" s="52"/>
      <x:c r="F2" s="52"/>
      <x:c r="G2" s="52"/>
    </x:row>
    <x:row r="3" ht="48" customHeight="1">
      <x:c r="A3" s="108" t="str">
        <x:v>No.</x:v>
      </x:c>
      <x:c r="B3" s="108" t="str">
        <x:v>分類</x:v>
      </x:c>
      <x:c r="C3" s="108" t="str">
        <x:v>機能試験前に確認する事項</x:v>
      </x:c>
      <x:c r="D3" s="108" t="str">
        <x:v>現行コードから読み取れる動作</x:v>
      </x:c>
      <x:c r="E3" s="108" t="str">
        <x:v>機能試験への影響</x:v>
      </x:c>
      <x:c r="F3" s="108" t="str">
        <x:v>確認結果</x:v>
      </x:c>
      <x:c r="G3" s="108" t="str">
        <x:v>対応方針</x:v>
      </x:c>
    </x:row>
    <x:row r="4" ht="72" customHeight="1">
      <x:c r="A4" s="112" t="str">
        <x:v>QA-001</x:v>
      </x:c>
      <x:c r="B4" s="54" t="str">
        <x:v>登録対象</x:v>
      </x:c>
      <x:c r="C4" s="54" t="str">
        <x:v>alert_type=0（アラートなし）の行も結果テーブルへ保存する仕様でよいか。</x:v>
      </x:c>
      <x:c r="D4" s="54" t="str">
        <x:v>有効な入力行はalert_type=0でも結果データとなる。</x:v>
      </x:c>
      <x:c r="E4" s="54" t="str">
        <x:v>JUD-004の期待結果が変わる可能性がある。</x:v>
      </x:c>
      <x:c r="F4" s="54" t="str">
        <x:v>未確認</x:v>
      </x:c>
      <x:c r="G4" s="54" t="str">
        <x:v>仕様責任者へ確認後、JUD-004を確定する</x:v>
      </x:c>
    </x:row>
    <x:row r="5" ht="72" customHeight="1">
      <x:c r="A5" s="112" t="str">
        <x:v>QA-002</x:v>
      </x:c>
      <x:c r="B5" s="54" t="str">
        <x:v>障害復旧</x:v>
      </x:c>
      <x:c r="C5" s="54" t="str">
        <x:v>対象期間の既存結果削除後にSQLまたは登録で失敗した場合、結果をどの状態へ戻すか。</x:v>
      </x:c>
      <x:c r="D5" s="54" t="str">
        <x:v>処理途中で失敗すると、削除済み期間が欠損または一部登録になる可能性がある。</x:v>
      </x:c>
      <x:c r="E5" s="54" t="str">
        <x:v>ERR-001で確認するDB状態と復旧手順を確定できない。</x:v>
      </x:c>
      <x:c r="F5" s="54" t="str">
        <x:v>未確認</x:v>
      </x:c>
      <x:c r="G5" s="54" t="str">
        <x:v>トランザクション・再実行手順を運用設計と照合する</x:v>
      </x:c>
    </x:row>
    <x:row r="6" ht="72" customHeight="1">
      <x:c r="A6" s="112" t="str">
        <x:v>QA-003</x:v>
      </x:c>
      <x:c r="B6" s="54" t="str">
        <x:v>再計算範囲</x:v>
      </x:c>
      <x:c r="C6" s="54" t="str">
        <x:v>再計算範囲は『判定対象日の前月1日～判定対象日』で確定か。</x:v>
      </x:c>
      <x:c r="D6" s="54" t="str">
        <x:v>ローリング30日ではなく月初起点となる。</x:v>
      </x:c>
      <x:c r="E6" s="54" t="str">
        <x:v>FNC-002、FNC-003の期待対象期間に直接影響する。</x:v>
      </x:c>
      <x:c r="F6" s="54" t="str">
        <x:v>未確認</x:v>
      </x:c>
      <x:c r="G6" s="54" t="str">
        <x:v>基本設計書・業務担当者と照合する</x:v>
      </x:c>
    </x:row>
    <x:row r="7" ht="72" customHeight="1">
      <x:c r="A7" s="112" t="str">
        <x:v>QA-004</x:v>
      </x:c>
      <x:c r="B7" s="54" t="str">
        <x:v>NULL閾値</x:v>
      </x:c>
      <x:c r="C7" s="54" t="str">
        <x:v>閾値A～DのいずれかがNULLの場合、結果を作成せず警告ログだけでよいか。</x:v>
      </x:c>
      <x:c r="D7" s="54" t="str">
        <x:v>該当行をスキップする。</x:v>
      </x:c>
      <x:c r="E7" s="54" t="str">
        <x:v>DAT-001の期待結果と運用時の設定漏れ検知方法に影響する。</x:v>
      </x:c>
      <x:c r="F7" s="54" t="str">
        <x:v>未確認</x:v>
      </x:c>
      <x:c r="G7" s="54" t="str">
        <x:v>警告監視・通知要否も含めて確認する</x:v>
      </x:c>
    </x:row>
    <x:row r="8" ht="72" customHeight="1">
      <x:c r="A8" s="112" t="str">
        <x:v>QA-005</x:v>
      </x:c>
      <x:c r="B8" s="54" t="str">
        <x:v>ログ件数</x:v>
      </x:c>
      <x:c r="C8" s="54" t="str">
        <x:v>完了ログの件数は全判定行数か、is_alert=Trueの件数か。</x:v>
      </x:c>
      <x:c r="D8" s="54" t="str">
        <x:v>alert_type=0を含む結果行数が出力される。</x:v>
      </x:c>
      <x:c r="E8" s="54" t="str">
        <x:v>OPS-001の件数照合基準に影響する。</x:v>
      </x:c>
      <x:c r="F8" s="54" t="str">
        <x:v>未確認</x:v>
      </x:c>
      <x:c r="G8" s="54" t="str">
        <x:v>ログ定義を確認し、必要なら文言を修正する</x:v>
      </x:c>
    </x:row>
    <x:row r="9" ht="72" customHeight="1">
      <x:c r="A9" s="112" t="str">
        <x:v>QA-006</x:v>
      </x:c>
      <x:c r="B9" s="54" t="str">
        <x:v>試験日付</x:v>
      </x:c>
      <x:c r="C9" s="54" t="str">
        <x:v>年跨ぎ試験のため、テスト環境のJST日付を安全に固定できるか。</x:v>
      </x:c>
      <x:c r="D9" s="54" t="str">
        <x:v>実行時のJST日付から対象期間を決める。</x:v>
      </x:c>
      <x:c r="E9" s="54" t="str">
        <x:v>日付固定不可の場合、FNC-003は年跨ぎ期間に実施するか別の結合試験手段が必要。</x:v>
      </x:c>
      <x:c r="F9" s="54" t="str">
        <x:v>未確認</x:v>
      </x:c>
      <x:c r="G9" s="54" t="str">
        <x:v>環境担当者へ実施方法を確認する</x:v>
      </x:c>
    </x:row>
    <x:row r="10" ht="64" customHeight="1">
      <x:c r="A10" s="52"/>
      <x:c r="B10" s="52"/>
      <x:c r="C10" s="52"/>
      <x:c r="D10" s="52"/>
      <x:c r="E10" s="52"/>
      <x:c r="F10" s="52"/>
      <x:c r="G10" s="52"/>
    </x:row>
    <x:row r="11" ht="64" customHeight="1">
      <x:c r="A11" s="52"/>
      <x:c r="B11" s="52"/>
      <x:c r="C11" s="52"/>
      <x:c r="D11" s="52"/>
      <x:c r="E11" s="52"/>
      <x:c r="F11" s="52"/>
      <x:c r="G11" s="52"/>
    </x:row>
    <x:row r="12" ht="64" customHeight="1">
      <x:c r="A12" s="52"/>
      <x:c r="B12" s="52"/>
      <x:c r="C12" s="52"/>
      <x:c r="D12" s="52"/>
      <x:c r="E12" s="52"/>
      <x:c r="F12" s="52"/>
      <x:c r="G12" s="52"/>
    </x:row>
    <x:row r="13" ht="64" customHeight="1">
      <x:c r="A13" s="52"/>
      <x:c r="B13" s="52"/>
      <x:c r="C13" s="52"/>
      <x:c r="D13" s="52"/>
      <x:c r="E13" s="52"/>
      <x:c r="F13" s="52"/>
      <x:c r="G13" s="52"/>
    </x:row>
    <x:row r="14" ht="64" customHeight="1">
      <x:c r="A14" s="52"/>
      <x:c r="B14" s="52"/>
      <x:c r="C14" s="52"/>
      <x:c r="D14" s="52"/>
      <x:c r="E14" s="52"/>
      <x:c r="F14" s="52"/>
      <x:c r="G14" s="52"/>
    </x:row>
  </x:sheetData>
  <x:mergeCells>
    <x:mergeCell ref="A1:G2"/>
  </x:mergeCells>
  <x:conditionalFormatting sqref="F4:F14">
    <x:cfRule type="containsText" dxfId="3" priority="1" operator="containsText" text="未確認"/>
    <x:cfRule type="containsText" dxfId="4" priority="2" operator="containsText" text="確認済"/>
  </x:conditionalFormatting>
  <x:conditionalFormatting sqref="F4:F9">
    <x:cfRule type="containsText" dxfId="8" priority="3" operator="containsText" text="未確認"/>
    <x:cfRule type="containsText" dxfId="9" priority="4" operator="containsText" text="確認済"/>
  </x:conditionalFormatting>
  <x:dataValidations count="2">
    <x:dataValidation type="list" sqref="F4:F14">
      <x:formula1>"未確認,確認済,対応不要"</x:formula1>
    </x:dataValidation>
    <x:dataValidation type="list" sqref="F4:F9">
      <x:formula1>"未確認,確認済,対応不要"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ab247cace648c3"/>
  </x:tableParts>
</x:worksheet>
</file>