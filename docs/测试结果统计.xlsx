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6580451fa64581" /></Relationships>
</file>

<file path=xl/workbook.xml><?xml version="1.0" encoding="utf-8"?>
<x:workbook xmlns:x="http://schemas.openxmlformats.org/spreadsheetml/2006/main">
  <x:sheets>
    <x:sheet xmlns:r="http://schemas.openxmlformats.org/officeDocument/2006/relationships" name="data_processing_テストケース" sheetId="1" r:id="R73bf555d74c942f4"/>
    <x:sheet xmlns:r="http://schemas.openxmlformats.org/officeDocument/2006/relationships" name="data_processing_テストデータ" sheetId="2" r:id="R9da3c87b88e3454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d"/>
    <x:numFmt numFmtId="201" formatCode="0.00"/>
    <x:numFmt numFmtId="202" formatCode="0"/>
  </x:numFmts>
  <x:fonts count="4">
    <x:font>
      <x:sz val="11"/>
      <x:name val="Carlito"/>
    </x:font>
    <x:font>
      <x:b/>
      <x:sz val="11"/>
      <x:color rgb="FFFFFFFF"/>
      <x:name val="Yu Gothic"/>
    </x:font>
    <x:font>
      <x:sz val="11"/>
      <x:color rgb="FF222222"/>
      <x:name val="Yu Gothic"/>
    </x:font>
    <x:font>
      <x:b/>
      <x:sz val="11"/>
      <x:color rgb="FF17365D"/>
      <x:name val="Yu Gothic"/>
    </x:font>
  </x:fonts>
  <x:fills count="5">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EAF2F8"/>
      </x:patternFill>
    </x:fill>
  </x:fills>
  <x:borders count="6">
    <x:border/>
    <x:border>
      <x:left style="thin">
        <x:color rgb="FFFFFFFF"/>
      </x:left>
      <x:right style="thin">
        <x:color rgb="FFFFFFFF"/>
      </x:right>
      <x:top style="thin">
        <x:color rgb="FFFFFFFF"/>
      </x:top>
      <x:bottom style="thin">
        <x:color rgb="FFFFFFFF"/>
      </x:bottom>
    </x:border>
    <x:border>
      <x:left style="thin">
        <x:color rgb="FF9EADBF"/>
      </x:left>
      <x:right style="thin">
        <x:color rgb="FF9EADBF"/>
      </x:right>
      <x:top style="thin">
        <x:color rgb="FF9EADBF"/>
      </x:top>
      <x:bottom style="thin">
        <x:color rgb="FF9EADBF"/>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2"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2" xfId="0" applyNumberFormat="1" applyFont="1" applyFill="1" applyBorder="1" applyAlignment="1">
      <x:alignment horizontal="center" vertical="top" wrapText="1"/>
    </x:xf>
    <x:xf numFmtId="0" fontId="2" fillId="0" borderId="2" xfId="0" applyNumberFormat="1" applyFont="1" applyFill="1" applyBorder="1" applyAlignment="1">
      <x:alignment horizontal="center" vertical="top" wrapText="1"/>
    </x:xf>
    <x:xf numFmtId="200" fontId="2" fillId="0" borderId="2" xfId="0" applyNumberFormat="1" applyFont="1" applyFill="1" applyBorder="1" applyAlignment="1">
      <x:alignment horizontal="center"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2" xfId="0" applyNumberFormat="1" applyFont="1" applyFill="1" applyBorder="1">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4"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2" fillId="0"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1" fontId="2" fillId="0" borderId="2" xfId="0" applyNumberFormat="1" applyFont="1" applyFill="1" applyBorder="1" applyAlignment="1">
      <x:alignment horizontal="center" vertical="top" wrapText="1"/>
    </x:xf>
    <x:xf numFmtId="202" fontId="2" fillId="0" borderId="2" xfId="0" applyNumberFormat="1" applyFont="1" applyFill="1" applyBorder="1" applyAlignment="1">
      <x:alignment horizontal="center" vertical="top" wrapText="1"/>
    </x:xf>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3" xfId="0" applyNumberFormat="1" applyFont="1" applyFill="1" applyBorder="1" applyAlignment="1">
      <x:alignmen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adab66c35643b5" /><Relationship Type="http://schemas.openxmlformats.org/officeDocument/2006/relationships/theme" Target="/xl/theme/theme1.xml" Id="Rce025ffa16244344" /><Relationship Type="http://schemas.microsoft.com/office/2022/11/relationships/FeaturePropertyBag" Target="/xl/featurePropertyBag/featurePropertyBag.xml" Id="R989a6d1471e548de" /><Relationship Type="http://schemas.openxmlformats.org/officeDocument/2006/relationships/sharedStrings" Target="/xl/sharedStrings.xml" Id="Rda6ecc36eed14579" /><Relationship Type="http://schemas.openxmlformats.org/officeDocument/2006/relationships/worksheet" Target="/xl/worksheets/sheet1.xml" Id="R73bf555d74c942f4" /><Relationship Type="http://schemas.openxmlformats.org/officeDocument/2006/relationships/worksheet" Target="/xl/worksheets/sheet2.xml" Id="R9da3c87b88e3454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ongTermTestCasesTable" displayName="LongTermTestCasesTable" ref="A1:J11" headerRowCount="1" totalsRowCount="0" totalsRowShown="0">
  <x:autoFilter ref="A1:J11"/>
  <x:tableColumns count="10">
    <x:tableColumn id="1" name="No."/>
    <x:tableColumn id="2" name="大項目"/>
    <x:tableColumn id="3" name="テスト観点"/>
    <x:tableColumn id="4" name="テストデータID"/>
    <x:tableColumn id="5" name="前提条件"/>
    <x:tableColumn id="6" name="実施手順"/>
    <x:tableColumn id="7" name="期待結果"/>
    <x:tableColumn id="8" name="実施結果"/>
    <x:tableColumn id="9" name="実施日"/>
    <x:tableColumn id="10" name="実施者"/>
  </x:tableColumns>
  <x:tableStyleInfo name="TableStyleMedium2" showFirstColumn="0" showLastColumn="0" showRowStripes="0" showColumnStripes="0"/>
</x:table>
</file>

<file path=xl/tables/table2.xml><?xml version="1.0" encoding="utf-8"?>
<x:table xmlns:x="http://schemas.openxmlformats.org/spreadsheetml/2006/main" id="2" name="LongTermTestDataTable" displayName="LongTermTestDataTable" ref="A1:U9" headerRowCount="1" totalsRowCount="0" totalsRowShown="0">
  <x:autoFilter ref="A1:U9"/>
  <x:tableColumns count="21">
    <x:tableColumn id="1" name="テストデータID"/>
    <x:tableColumn id="2" name="対応ケース"/>
    <x:tableColumn id="3" name="series_name"/>
    <x:tableColumn id="4" name="gas_type"/>
    <x:tableColumn id="5" name="err_code"/>
    <x:tableColumn id="6" name="エラー種別"/>
    <x:tableColumn id="7" name="判定日"/>
    <x:tableColumn id="8" name="直近期間（30日）"/>
    <x:tableColumn id="9" name="比較期間（180日）"/>
    <x:tableColumn id="10" name="count_recent_avg"/>
    <x:tableColumn id="11" name="count_comparison_avg"/>
    <x:tableColumn id="12" name="threshold_e"/>
    <x:tableColumn id="13" name="threshold_f"/>
    <x:tableColumn id="14" name="倍率基準値（比較平均×E）"/>
    <x:tableColumn id="15" name="増加件数（直近平均－比較平均）"/>
    <x:tableColumn id="16" name="倍率条件"/>
    <x:tableColumn id="17" name="増加件数条件"/>
    <x:tableColumn id="18" name="期待alert_type"/>
    <x:tableColumn id="19" name="期待is_alert"/>
    <x:tableColumn id="20" name="入力データ設定"/>
    <x:tableColumn id="21" name="期待結果の説明"/>
  </x:tableColumns>
  <x:tableStyleInfo name="TableStyleMedium2" showFirstColumn="0" showLastColumn="0" showRowStripes="1" showColumnStripes="0"/>
</x:table>
</file>

<file path=xl/tables/table3.xml><?xml version="1.0" encoding="utf-8"?>
<x:table xmlns:x="http://schemas.openxmlformats.org/spreadsheetml/2006/main" id="3" name="LongTermOperationalDataTable" displayName="LongTermOperationalDataTable" ref="A13:F14" headerRowCount="1" totalsRowCount="0" totalsRowShown="0">
  <x:autoFilter ref="A13:F14"/>
  <x:tableColumns count="6">
    <x:tableColumn id="1" name="テストデータID"/>
    <x:tableColumn id="2" name="対応ケース"/>
    <x:tableColumn id="3" name="設定対象"/>
    <x:tableColumn id="4" name="設定内容"/>
    <x:tableColumn id="5" name="確認対象"/>
    <x:tableColumn id="6" name="期待結果"/>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7193314ac749a4" /></Relationships>
</file>

<file path=xl/worksheets/_rels/sheet2.xml.rels>&#65279;<?xml version="1.0" encoding="utf-8"?><Relationships xmlns="http://schemas.openxmlformats.org/package/2006/relationships"><Relationship Type="http://schemas.openxmlformats.org/officeDocument/2006/relationships/table" Target="/xl/tables/table2.xml" Id="R53b74c53ef6e4eae" /><Relationship Type="http://schemas.openxmlformats.org/officeDocument/2006/relationships/table" Target="/xl/tables/table3.xml" Id="Rbd1007cde62c4ab2" /></Relationships>
</file>

<file path=xl/worksheets/sheet1.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3" hidden="0" customWidth="1"/>
    <x:col min="2" max="2" width="18" hidden="0" customWidth="1"/>
    <x:col min="3" max="3" width="34" hidden="0" customWidth="1"/>
    <x:col min="4" max="4" width="18" hidden="0" customWidth="1"/>
    <x:col min="5" max="5" width="50" hidden="0" customWidth="1"/>
    <x:col min="6" max="6" width="48" hidden="0" customWidth="1"/>
    <x:col min="7" max="7" width="58" hidden="0" customWidth="1"/>
    <x:col min="8" max="8" width="58" hidden="0" customWidth="1"/>
    <x:col min="9" max="9" width="14" hidden="0" customWidth="1"/>
    <x:col min="10" max="10" width="14" hidden="0" customWidth="1"/>
  </x:cols>
  <x:sheetData>
    <x:row r="1" ht="42" customHeight="1">
      <x:c r="A1" s="6" t="str">
        <x:v>No.</x:v>
      </x:c>
      <x:c r="B1" s="6" t="str">
        <x:v>大項目</x:v>
      </x:c>
      <x:c r="C1" s="6" t="str">
        <x:v>テスト観点</x:v>
      </x:c>
      <x:c r="D1" s="6" t="str">
        <x:v>テストデータID</x:v>
      </x:c>
      <x:c r="E1" s="6" t="str">
        <x:v>前提条件</x:v>
      </x:c>
      <x:c r="F1" s="6" t="str">
        <x:v>実施手順</x:v>
      </x:c>
      <x:c r="G1" s="6" t="str">
        <x:v>期待結果</x:v>
      </x:c>
      <x:c r="H1" s="6" t="str">
        <x:v>実施結果</x:v>
      </x:c>
      <x:c r="I1" s="6" t="str">
        <x:v>実施日</x:v>
      </x:c>
      <x:c r="J1" s="6" t="str">
        <x:v>実施者</x:v>
      </x:c>
    </x:row>
    <x:row r="2" ht="64" customHeight="1">
      <x:c r="A2" s="13" t="str">
        <x:v>JUD-001</x:v>
      </x:c>
      <x:c r="B2" s="14" t="str">
        <x:v>アラート判定</x:v>
      </x:c>
      <x:c r="C2" s="14" t="str">
        <x:v>確定エラーで微増条件が成立</x:v>
      </x:c>
      <x:c r="D2" s="14" t="str">
        <x:v>TD-001</x:v>
      </x:c>
      <x:c r="E2" s="10" t="str">
        <x:v>倍率条件と増加件数条件の両方が成立するデータを登録する。</x:v>
      </x:c>
      <x:c r="F2" s="10" t="str">
        <x:v>ジョブを実行し、該当キーの結果を確認する。</x:v>
      </x:c>
      <x:c r="G2" s="10" t="str">
        <x:v>長期アラート結果テーブルにalert_type=4、is_alert=Trueで登録される。</x:v>
      </x:c>
      <x:c r="H2" s="10" t="str"/>
      <x:c r="I2" s="15"/>
      <x:c r="J2" s="14" t="str"/>
    </x:row>
    <x:row r="3" ht="64" customHeight="1">
      <x:c r="A3" s="13" t="str">
        <x:v>JUD-002</x:v>
      </x:c>
      <x:c r="B3" s="14" t="str">
        <x:v>アラート判定</x:v>
      </x:c>
      <x:c r="C3" s="14" t="str">
        <x:v>確定エラーで倍率条件のみ成立</x:v>
      </x:c>
      <x:c r="D3" s="14" t="str">
        <x:v>TD-002</x:v>
      </x:c>
      <x:c r="E3" s="10" t="str">
        <x:v>倍率条件だけが成立し、増加件数条件が成立しないデータを登録する。</x:v>
      </x:c>
      <x:c r="F3" s="10" t="str">
        <x:v>ジョブを実行し、該当キーの結果を確認する。</x:v>
      </x:c>
      <x:c r="G3" s="10" t="str">
        <x:v>長期アラート結果テーブルにalert_type=0、is_alert=Falseで登録される。</x:v>
      </x:c>
      <x:c r="H3" s="10" t="str"/>
      <x:c r="I3" s="15"/>
      <x:c r="J3" s="14" t="str"/>
    </x:row>
    <x:row r="4" ht="64" customHeight="1">
      <x:c r="A4" s="13" t="str">
        <x:v>JUD-003</x:v>
      </x:c>
      <x:c r="B4" s="14" t="str">
        <x:v>アラート判定</x:v>
      </x:c>
      <x:c r="C4" s="14" t="str">
        <x:v>確定エラーで増加件数条件のみ成立</x:v>
      </x:c>
      <x:c r="D4" s="14" t="str">
        <x:v>TD-003</x:v>
      </x:c>
      <x:c r="E4" s="10" t="str">
        <x:v>増加件数条件だけが成立し、倍率条件が成立しないデータを登録する。</x:v>
      </x:c>
      <x:c r="F4" s="10" t="str">
        <x:v>ジョブを実行し、該当キーの結果を確認する。</x:v>
      </x:c>
      <x:c r="G4" s="10" t="str">
        <x:v>長期アラート結果テーブルにalert_type=0、is_alert=Falseで登録される。</x:v>
      </x:c>
      <x:c r="H4" s="10" t="str"/>
      <x:c r="I4" s="15"/>
      <x:c r="J4" s="14" t="str"/>
    </x:row>
    <x:row r="5" ht="64" customHeight="1">
      <x:c r="A5" s="13" t="str">
        <x:v>JUD-004</x:v>
      </x:c>
      <x:c r="B5" s="14" t="str">
        <x:v>アラート判定</x:v>
      </x:c>
      <x:c r="C5" s="14" t="str">
        <x:v>確定エラーでいずれの条件も不成立</x:v>
      </x:c>
      <x:c r="D5" s="14" t="str">
        <x:v>TD-004</x:v>
      </x:c>
      <x:c r="E5" s="10" t="str">
        <x:v>倍率条件と増加件数条件のいずれも成立しないデータを登録する。</x:v>
      </x:c>
      <x:c r="F5" s="10" t="str">
        <x:v>ジョブを実行し、該当キーの結果を確認する。</x:v>
      </x:c>
      <x:c r="G5" s="10" t="str">
        <x:v>長期アラート結果テーブルにalert_type=0、is_alert=Falseで登録される。</x:v>
      </x:c>
      <x:c r="H5" s="10" t="str"/>
      <x:c r="I5" s="15"/>
      <x:c r="J5" s="14" t="str"/>
    </x:row>
    <x:row r="6" ht="64" customHeight="1">
      <x:c r="A6" s="13" t="str">
        <x:v>JUD-005</x:v>
      </x:c>
      <x:c r="B6" s="14" t="str">
        <x:v>アラート判定</x:v>
      </x:c>
      <x:c r="C6" s="14" t="str">
        <x:v>リトライエラーで微増条件が成立</x:v>
      </x:c>
      <x:c r="D6" s="14" t="str">
        <x:v>TD-005</x:v>
      </x:c>
      <x:c r="E6" s="10" t="str">
        <x:v>倍率条件と増加件数条件の両方が成立するデータを登録する。</x:v>
      </x:c>
      <x:c r="F6" s="10" t="str">
        <x:v>ジョブを実行し、該当キーの結果を確認する。</x:v>
      </x:c>
      <x:c r="G6" s="10" t="str">
        <x:v>長期アラート結果テーブルにalert_type=4、is_alert=Trueで登録される。</x:v>
      </x:c>
      <x:c r="H6" s="10" t="str"/>
      <x:c r="I6" s="15"/>
      <x:c r="J6" s="14" t="str"/>
    </x:row>
    <x:row r="7" ht="64" customHeight="1">
      <x:c r="A7" s="13" t="str">
        <x:v>JUD-006</x:v>
      </x:c>
      <x:c r="B7" s="14" t="str">
        <x:v>アラート判定</x:v>
      </x:c>
      <x:c r="C7" s="14" t="str">
        <x:v>リトライエラーで倍率条件のみ成立</x:v>
      </x:c>
      <x:c r="D7" s="14" t="str">
        <x:v>TD-006</x:v>
      </x:c>
      <x:c r="E7" s="10" t="str">
        <x:v>倍率条件だけが成立し、増加件数条件が成立しないデータを登録する。</x:v>
      </x:c>
      <x:c r="F7" s="10" t="str">
        <x:v>ジョブを実行し、該当キーの結果を確認する。</x:v>
      </x:c>
      <x:c r="G7" s="10" t="str">
        <x:v>長期アラート結果テーブルにalert_type=0、is_alert=Falseで登録される。</x:v>
      </x:c>
      <x:c r="H7" s="10" t="str"/>
      <x:c r="I7" s="15"/>
      <x:c r="J7" s="14" t="str"/>
    </x:row>
    <x:row r="8" ht="64" customHeight="1">
      <x:c r="A8" s="13" t="str">
        <x:v>JUD-007</x:v>
      </x:c>
      <x:c r="B8" s="14" t="str">
        <x:v>アラート判定</x:v>
      </x:c>
      <x:c r="C8" s="14" t="str">
        <x:v>リトライエラーで増加件数条件のみ成立</x:v>
      </x:c>
      <x:c r="D8" s="14" t="str">
        <x:v>TD-007</x:v>
      </x:c>
      <x:c r="E8" s="10" t="str">
        <x:v>増加件数条件だけが成立し、倍率条件が成立しないデータを登録する。</x:v>
      </x:c>
      <x:c r="F8" s="10" t="str">
        <x:v>ジョブを実行し、該当キーの結果を確認する。</x:v>
      </x:c>
      <x:c r="G8" s="10" t="str">
        <x:v>長期アラート結果テーブルにalert_type=0、is_alert=Falseで登録される。</x:v>
      </x:c>
      <x:c r="H8" s="10" t="str"/>
      <x:c r="I8" s="15"/>
      <x:c r="J8" s="14" t="str"/>
    </x:row>
    <x:row r="9" ht="64" customHeight="1">
      <x:c r="A9" s="13" t="str">
        <x:v>JUD-008</x:v>
      </x:c>
      <x:c r="B9" s="14" t="str">
        <x:v>アラート判定</x:v>
      </x:c>
      <x:c r="C9" s="14" t="str">
        <x:v>リトライエラーでいずれの条件も不成立</x:v>
      </x:c>
      <x:c r="D9" s="14" t="str">
        <x:v>TD-008</x:v>
      </x:c>
      <x:c r="E9" s="10" t="str">
        <x:v>倍率条件と増加件数条件のいずれも成立しないデータを登録する。</x:v>
      </x:c>
      <x:c r="F9" s="10" t="str">
        <x:v>ジョブを実行し、該当キーの結果を確認する。</x:v>
      </x:c>
      <x:c r="G9" s="10" t="str">
        <x:v>長期アラート結果テーブルにalert_type=0、is_alert=Falseで登録される。</x:v>
      </x:c>
      <x:c r="H9" s="10" t="str"/>
      <x:c r="I9" s="15"/>
      <x:c r="J9" s="14" t="str"/>
    </x:row>
    <x:row r="10" ht="64" customHeight="1">
      <x:c r="A10" s="13" t="str">
        <x:v>ERR-001</x:v>
      </x:c>
      <x:c r="B10" s="14" t="str">
        <x:v>異常系</x:v>
      </x:c>
      <x:c r="C10" s="14" t="str">
        <x:v>DB接続・SQL実行失敗</x:v>
      </x:c>
      <x:c r="D10" s="14" t="str">
        <x:v>OD-004</x:v>
      </x:c>
      <x:c r="E10" s="10" t="str">
        <x:v>テスト環境で参照DBを一時的に接続不可にするなど、安全にSQL失敗を再現できる。</x:v>
      </x:c>
      <x:c r="F10" s="10" t="str">
        <x:v>ジョブを実行し、終了状態、エラーログ、監視通知を確認する。</x:v>
      </x:c>
      <x:c r="G10" s="10" t="str">
        <x:v>ジョブは異常終了し、エラー内容と処理終了がログに記録され、ジョブ監視で失敗を検知できる。</x:v>
      </x:c>
      <x:c r="H10" s="10" t="str"/>
      <x:c r="I10" s="15"/>
      <x:c r="J10" s="14" t="str"/>
    </x:row>
    <x:row r="11" ht="64" customHeight="1">
      <x:c r="A11" s="13" t="str">
        <x:v>OPS-001</x:v>
      </x:c>
      <x:c r="B11" s="14" t="str">
        <x:v>運用ログ</x:v>
      </x:c>
      <x:c r="C11" s="14" t="str">
        <x:v>正常終了時の追跡情報</x:v>
      </x:c>
      <x:c r="D11" s="14" t="str">
        <x:v>TD-001</x:v>
      </x:c>
      <x:c r="E11" s="10" t="str">
        <x:v>正常処理できるデータを登録する。</x:v>
      </x:c>
      <x:c r="F11" s="10" t="str">
        <x:v>ジョブを実行し、実行ログを確認する。</x:v>
      </x:c>
      <x:c r="G11" s="10" t="str">
        <x:v>開始、再計算対象期間、判定日、長期集計グループ数、月別処理件数、完了および終了を追跡できる情報がログに記録される。</x:v>
      </x:c>
      <x:c r="H11" s="10" t="str"/>
      <x:c r="I11" s="15"/>
      <x:c r="J11" s="14" t="str"/>
    </x:row>
  </x:sheetData>
  <x:pageMargins left="0.7" right="0.7" top="0.75" bottom="0.75" header="0.3" footer="0.3"/>
  <x:tableParts count="1">
    <x:tablePart xmlns:r="http://schemas.openxmlformats.org/officeDocument/2006/relationships" r:id="Rcf7193314ac749a4"/>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15" hidden="0" customWidth="1"/>
    <x:col min="3" max="3" width="14" hidden="0" customWidth="1"/>
    <x:col min="4" max="4" width="13" hidden="0" customWidth="1"/>
    <x:col min="5" max="5" width="14" hidden="0" customWidth="1"/>
    <x:col min="6" max="6" width="18" hidden="0" customWidth="1"/>
    <x:col min="7" max="7" width="14" hidden="0" customWidth="1"/>
    <x:col min="8" max="8" width="24" hidden="0" customWidth="1"/>
    <x:col min="9" max="9" width="24" hidden="0" customWidth="1"/>
    <x:col min="10" max="10" width="20" hidden="0" customWidth="1"/>
    <x:col min="11" max="11" width="24" hidden="0" customWidth="1"/>
    <x:col min="12" max="12" width="14" hidden="0" customWidth="1"/>
    <x:col min="13" max="13" width="14" hidden="0" customWidth="1"/>
    <x:col min="14" max="14" width="25" hidden="0" customWidth="1"/>
    <x:col min="15" max="15" width="29" hidden="0" customWidth="1"/>
    <x:col min="16" max="16" width="14" hidden="0" customWidth="1"/>
    <x:col min="17" max="17" width="18" hidden="0" customWidth="1"/>
    <x:col min="18" max="18" width="18" hidden="0" customWidth="1"/>
    <x:col min="19" max="19" width="18" hidden="0" customWidth="1"/>
    <x:col min="20" max="20" width="58" hidden="0" customWidth="1"/>
    <x:col min="21" max="21" width="64" hidden="0" customWidth="1"/>
  </x:cols>
  <x:sheetData>
    <x:row r="1" ht="48" customHeight="1">
      <x:c r="A1" s="6" t="str">
        <x:v>テストデータID</x:v>
      </x:c>
      <x:c r="B1" s="6" t="str">
        <x:v>対応ケース</x:v>
      </x:c>
      <x:c r="C1" s="6" t="str">
        <x:v>series_name</x:v>
      </x:c>
      <x:c r="D1" s="6" t="str">
        <x:v>gas_type</x:v>
      </x:c>
      <x:c r="E1" s="6" t="str">
        <x:v>err_code</x:v>
      </x:c>
      <x:c r="F1" s="6" t="str">
        <x:v>エラー種別</x:v>
      </x:c>
      <x:c r="G1" s="6" t="str">
        <x:v>判定日</x:v>
      </x:c>
      <x:c r="H1" s="6" t="str">
        <x:v>直近期間（30日）</x:v>
      </x:c>
      <x:c r="I1" s="6" t="str">
        <x:v>比較期間（180日）</x:v>
      </x:c>
      <x:c r="J1" s="6" t="str">
        <x:v>count_recent_avg</x:v>
      </x:c>
      <x:c r="K1" s="6" t="str">
        <x:v>count_comparison_avg</x:v>
      </x:c>
      <x:c r="L1" s="6" t="str">
        <x:v>threshold_e</x:v>
      </x:c>
      <x:c r="M1" s="6" t="str">
        <x:v>threshold_f</x:v>
      </x:c>
      <x:c r="N1" s="6" t="str">
        <x:v>倍率基準値（比較平均×E）</x:v>
      </x:c>
      <x:c r="O1" s="6" t="str">
        <x:v>増加件数（直近平均－比較平均）</x:v>
      </x:c>
      <x:c r="P1" s="6" t="str">
        <x:v>倍率条件</x:v>
      </x:c>
      <x:c r="Q1" s="6" t="str">
        <x:v>増加件数条件</x:v>
      </x:c>
      <x:c r="R1" s="6" t="str">
        <x:v>期待alert_type</x:v>
      </x:c>
      <x:c r="S1" s="6" t="str">
        <x:v>期待is_alert</x:v>
      </x:c>
      <x:c r="T1" s="6" t="str">
        <x:v>入力データ設定</x:v>
      </x:c>
      <x:c r="U1" s="6" t="str">
        <x:v>期待結果の説明</x:v>
      </x:c>
    </x:row>
    <x:row r="2" ht="70" customHeight="1">
      <x:c r="A2" s="23" t="str">
        <x:v>TD-001</x:v>
      </x:c>
      <x:c r="B2" s="14" t="str">
        <x:v>JUD-001</x:v>
      </x:c>
      <x:c r="C2" s="14" t="str">
        <x:v>S1</x:v>
      </x:c>
      <x:c r="D2" s="14" t="str">
        <x:v>G1</x:v>
      </x:c>
      <x:c r="E2" s="14" t="str">
        <x:v>LT001</x:v>
      </x:c>
      <x:c r="F2" s="14" t="str">
        <x:v>確定エラー</x:v>
      </x:c>
      <x:c r="G2" s="15" t="n">
        <x:v>46273</x:v>
      </x:c>
      <x:c r="H2" s="14" t="str">
        <x:v>2026-08-10～2026-09-08</x:v>
      </x:c>
      <x:c r="I2" s="14" t="str">
        <x:v>2026-02-11～2026-08-09</x:v>
      </x:c>
      <x:c r="J2" s="25" t="n">
        <x:v>15</x:v>
      </x:c>
      <x:c r="K2" s="25" t="n">
        <x:v>10</x:v>
      </x:c>
      <x:c r="L2" s="25" t="n">
        <x:v>1.5</x:v>
      </x:c>
      <x:c r="M2" s="25" t="n">
        <x:v>5</x:v>
      </x:c>
      <x:c r="N2" s="25" t="n">
        <x:f>K2*L2</x:f>
        <x:v>15</x:v>
      </x:c>
      <x:c r="O2" s="25" t="n">
        <x:f>J2-K2</x:f>
        <x:v>5</x:v>
      </x:c>
      <x:c r="P2" s="14" t="str">
        <x:f>IF(J2&gt;=N2,"成立","不成立")</x:f>
        <x:v>成立</x:v>
      </x:c>
      <x:c r="Q2" s="14" t="str">
        <x:f>IF(O2&gt;=M2,"成立","不成立")</x:f>
        <x:v>成立</x:v>
      </x:c>
      <x:c r="R2" s="26" t="n">
        <x:v>4</x:v>
      </x:c>
      <x:c r="S2" s="24" t="b">
        <x:v>1</x:v>
      </x:c>
      <x:c r="T2" s="10" t="str">
        <x:v>直近30日の日別件数を15件、比較期間180日の日別件数を10件として登録する。</x:v>
      </x:c>
      <x:c r="U2" s="10" t="str">
        <x:v>倍率基準15件以上、かつ増加件数5件以上となるため微増条件が成立する。</x:v>
      </x:c>
    </x:row>
    <x:row r="3" ht="70" customHeight="1">
      <x:c r="A3" s="23" t="str">
        <x:v>TD-002</x:v>
      </x:c>
      <x:c r="B3" s="14" t="str">
        <x:v>JUD-002</x:v>
      </x:c>
      <x:c r="C3" s="14" t="str">
        <x:v>S1</x:v>
      </x:c>
      <x:c r="D3" s="14" t="str">
        <x:v>G1</x:v>
      </x:c>
      <x:c r="E3" s="14" t="str">
        <x:v>LT002</x:v>
      </x:c>
      <x:c r="F3" s="14" t="str">
        <x:v>確定エラー</x:v>
      </x:c>
      <x:c r="G3" s="15" t="n">
        <x:v>46273</x:v>
      </x:c>
      <x:c r="H3" s="14" t="str">
        <x:v>2026-08-10～2026-09-08</x:v>
      </x:c>
      <x:c r="I3" s="14" t="str">
        <x:v>2026-02-11～2026-08-09</x:v>
      </x:c>
      <x:c r="J3" s="25" t="n">
        <x:v>12</x:v>
      </x:c>
      <x:c r="K3" s="25" t="n">
        <x:v>10</x:v>
      </x:c>
      <x:c r="L3" s="25" t="n">
        <x:v>1.2</x:v>
      </x:c>
      <x:c r="M3" s="25" t="n">
        <x:v>5</x:v>
      </x:c>
      <x:c r="N3" s="25" t="n">
        <x:f>K3*L3</x:f>
        <x:v>12</x:v>
      </x:c>
      <x:c r="O3" s="25" t="n">
        <x:f>J3-K3</x:f>
        <x:v>2</x:v>
      </x:c>
      <x:c r="P3" s="14" t="str">
        <x:f>IF(J3&gt;=N3,"成立","不成立")</x:f>
        <x:v>成立</x:v>
      </x:c>
      <x:c r="Q3" s="14" t="str">
        <x:f>IF(O3&gt;=M3,"成立","不成立")</x:f>
        <x:v>不成立</x:v>
      </x:c>
      <x:c r="R3" s="26" t="n">
        <x:v>0</x:v>
      </x:c>
      <x:c r="S3" s="24" t="b">
        <x:v>0</x:v>
      </x:c>
      <x:c r="T3" s="10" t="str">
        <x:v>直近30日の日別件数を12件、比較期間180日の日別件数を10件として登録する。</x:v>
      </x:c>
      <x:c r="U3" s="10" t="str">
        <x:v>倍率基準12件以上は満たすが、増加件数2件が閾値F未満のため微増条件は成立しない。</x:v>
      </x:c>
    </x:row>
    <x:row r="4" ht="70" customHeight="1">
      <x:c r="A4" s="23" t="str">
        <x:v>TD-003</x:v>
      </x:c>
      <x:c r="B4" s="14" t="str">
        <x:v>JUD-003</x:v>
      </x:c>
      <x:c r="C4" s="14" t="str">
        <x:v>S1</x:v>
      </x:c>
      <x:c r="D4" s="14" t="str">
        <x:v>G1</x:v>
      </x:c>
      <x:c r="E4" s="14" t="str">
        <x:v>LT003</x:v>
      </x:c>
      <x:c r="F4" s="14" t="str">
        <x:v>確定エラー</x:v>
      </x:c>
      <x:c r="G4" s="15" t="n">
        <x:v>46273</x:v>
      </x:c>
      <x:c r="H4" s="14" t="str">
        <x:v>2026-08-10～2026-09-08</x:v>
      </x:c>
      <x:c r="I4" s="14" t="str">
        <x:v>2026-02-11～2026-08-09</x:v>
      </x:c>
      <x:c r="J4" s="25" t="n">
        <x:v>15</x:v>
      </x:c>
      <x:c r="K4" s="25" t="n">
        <x:v>10</x:v>
      </x:c>
      <x:c r="L4" s="25" t="n">
        <x:v>2</x:v>
      </x:c>
      <x:c r="M4" s="25" t="n">
        <x:v>5</x:v>
      </x:c>
      <x:c r="N4" s="25" t="n">
        <x:f>K4*L4</x:f>
        <x:v>20</x:v>
      </x:c>
      <x:c r="O4" s="25" t="n">
        <x:f>J4-K4</x:f>
        <x:v>5</x:v>
      </x:c>
      <x:c r="P4" s="14" t="str">
        <x:f>IF(J4&gt;=N4,"成立","不成立")</x:f>
        <x:v>不成立</x:v>
      </x:c>
      <x:c r="Q4" s="14" t="str">
        <x:f>IF(O4&gt;=M4,"成立","不成立")</x:f>
        <x:v>成立</x:v>
      </x:c>
      <x:c r="R4" s="26" t="n">
        <x:v>0</x:v>
      </x:c>
      <x:c r="S4" s="24" t="b">
        <x:v>0</x:v>
      </x:c>
      <x:c r="T4" s="10" t="str">
        <x:v>直近30日の日別件数を15件、比較期間180日の日別件数を10件として登録する。</x:v>
      </x:c>
      <x:c r="U4" s="10" t="str">
        <x:v>増加件数5件以上は満たすが、直近平均15件が倍率基準20件未満のため微増条件は成立しない。</x:v>
      </x:c>
    </x:row>
    <x:row r="5" ht="70" customHeight="1">
      <x:c r="A5" s="23" t="str">
        <x:v>TD-004</x:v>
      </x:c>
      <x:c r="B5" s="14" t="str">
        <x:v>JUD-004</x:v>
      </x:c>
      <x:c r="C5" s="14" t="str">
        <x:v>S1</x:v>
      </x:c>
      <x:c r="D5" s="14" t="str">
        <x:v>G1</x:v>
      </x:c>
      <x:c r="E5" s="14" t="str">
        <x:v>LT004</x:v>
      </x:c>
      <x:c r="F5" s="14" t="str">
        <x:v>確定エラー</x:v>
      </x:c>
      <x:c r="G5" s="15" t="n">
        <x:v>46273</x:v>
      </x:c>
      <x:c r="H5" s="14" t="str">
        <x:v>2026-08-10～2026-09-08</x:v>
      </x:c>
      <x:c r="I5" s="14" t="str">
        <x:v>2026-02-11～2026-08-09</x:v>
      </x:c>
      <x:c r="J5" s="25" t="n">
        <x:v>12</x:v>
      </x:c>
      <x:c r="K5" s="25" t="n">
        <x:v>10</x:v>
      </x:c>
      <x:c r="L5" s="25" t="n">
        <x:v>2</x:v>
      </x:c>
      <x:c r="M5" s="25" t="n">
        <x:v>5</x:v>
      </x:c>
      <x:c r="N5" s="25" t="n">
        <x:f>K5*L5</x:f>
        <x:v>20</x:v>
      </x:c>
      <x:c r="O5" s="25" t="n">
        <x:f>J5-K5</x:f>
        <x:v>2</x:v>
      </x:c>
      <x:c r="P5" s="14" t="str">
        <x:f>IF(J5&gt;=N5,"成立","不成立")</x:f>
        <x:v>不成立</x:v>
      </x:c>
      <x:c r="Q5" s="14" t="str">
        <x:f>IF(O5&gt;=M5,"成立","不成立")</x:f>
        <x:v>不成立</x:v>
      </x:c>
      <x:c r="R5" s="26" t="n">
        <x:v>0</x:v>
      </x:c>
      <x:c r="S5" s="24" t="b">
        <x:v>0</x:v>
      </x:c>
      <x:c r="T5" s="10" t="str">
        <x:v>直近30日の日別件数を12件、比較期間180日の日別件数を10件として登録する。</x:v>
      </x:c>
      <x:c r="U5" s="10" t="str">
        <x:v>倍率条件と増加件数条件のいずれも満たさないため微増条件は成立しない。</x:v>
      </x:c>
    </x:row>
    <x:row r="6" ht="70" customHeight="1">
      <x:c r="A6" s="23" t="str">
        <x:v>TD-005</x:v>
      </x:c>
      <x:c r="B6" s="14" t="str">
        <x:v>JUD-005</x:v>
      </x:c>
      <x:c r="C6" s="14" t="str">
        <x:v>S1</x:v>
      </x:c>
      <x:c r="D6" s="14" t="str">
        <x:v>G1</x:v>
      </x:c>
      <x:c r="E6" s="14" t="str">
        <x:v>LT005</x:v>
      </x:c>
      <x:c r="F6" s="14" t="str">
        <x:v>リトライエラー</x:v>
      </x:c>
      <x:c r="G6" s="15" t="n">
        <x:v>46273</x:v>
      </x:c>
      <x:c r="H6" s="14" t="str">
        <x:v>2026-08-10～2026-09-08</x:v>
      </x:c>
      <x:c r="I6" s="14" t="str">
        <x:v>2026-02-11～2026-08-09</x:v>
      </x:c>
      <x:c r="J6" s="25" t="n">
        <x:v>15</x:v>
      </x:c>
      <x:c r="K6" s="25" t="n">
        <x:v>10</x:v>
      </x:c>
      <x:c r="L6" s="25" t="n">
        <x:v>1.5</x:v>
      </x:c>
      <x:c r="M6" s="25" t="n">
        <x:v>5</x:v>
      </x:c>
      <x:c r="N6" s="25" t="n">
        <x:f>K6*L6</x:f>
        <x:v>15</x:v>
      </x:c>
      <x:c r="O6" s="25" t="n">
        <x:f>J6-K6</x:f>
        <x:v>5</x:v>
      </x:c>
      <x:c r="P6" s="14" t="str">
        <x:f>IF(J6&gt;=N6,"成立","不成立")</x:f>
        <x:v>成立</x:v>
      </x:c>
      <x:c r="Q6" s="14" t="str">
        <x:f>IF(O6&gt;=M6,"成立","不成立")</x:f>
        <x:v>成立</x:v>
      </x:c>
      <x:c r="R6" s="26" t="n">
        <x:v>4</x:v>
      </x:c>
      <x:c r="S6" s="24" t="b">
        <x:v>1</x:v>
      </x:c>
      <x:c r="T6" s="10" t="str">
        <x:v>直近30日の日別件数を15件、比較期間180日の日別件数を10件として登録する。</x:v>
      </x:c>
      <x:c r="U6" s="10" t="str">
        <x:v>倍率基準15件以上、かつ増加件数5件以上となるため微増条件が成立する。</x:v>
      </x:c>
    </x:row>
    <x:row r="7" ht="70" customHeight="1">
      <x:c r="A7" s="23" t="str">
        <x:v>TD-006</x:v>
      </x:c>
      <x:c r="B7" s="14" t="str">
        <x:v>JUD-006</x:v>
      </x:c>
      <x:c r="C7" s="14" t="str">
        <x:v>S1</x:v>
      </x:c>
      <x:c r="D7" s="14" t="str">
        <x:v>G1</x:v>
      </x:c>
      <x:c r="E7" s="14" t="str">
        <x:v>LT006</x:v>
      </x:c>
      <x:c r="F7" s="14" t="str">
        <x:v>リトライエラー</x:v>
      </x:c>
      <x:c r="G7" s="15" t="n">
        <x:v>46273</x:v>
      </x:c>
      <x:c r="H7" s="14" t="str">
        <x:v>2026-08-10～2026-09-08</x:v>
      </x:c>
      <x:c r="I7" s="14" t="str">
        <x:v>2026-02-11～2026-08-09</x:v>
      </x:c>
      <x:c r="J7" s="25" t="n">
        <x:v>12</x:v>
      </x:c>
      <x:c r="K7" s="25" t="n">
        <x:v>10</x:v>
      </x:c>
      <x:c r="L7" s="25" t="n">
        <x:v>1.2</x:v>
      </x:c>
      <x:c r="M7" s="25" t="n">
        <x:v>5</x:v>
      </x:c>
      <x:c r="N7" s="25" t="n">
        <x:f>K7*L7</x:f>
        <x:v>12</x:v>
      </x:c>
      <x:c r="O7" s="25" t="n">
        <x:f>J7-K7</x:f>
        <x:v>2</x:v>
      </x:c>
      <x:c r="P7" s="14" t="str">
        <x:f>IF(J7&gt;=N7,"成立","不成立")</x:f>
        <x:v>成立</x:v>
      </x:c>
      <x:c r="Q7" s="14" t="str">
        <x:f>IF(O7&gt;=M7,"成立","不成立")</x:f>
        <x:v>不成立</x:v>
      </x:c>
      <x:c r="R7" s="26" t="n">
        <x:v>0</x:v>
      </x:c>
      <x:c r="S7" s="24" t="b">
        <x:v>0</x:v>
      </x:c>
      <x:c r="T7" s="10" t="str">
        <x:v>直近30日の日別件数を12件、比較期間180日の日別件数を10件として登録する。</x:v>
      </x:c>
      <x:c r="U7" s="10" t="str">
        <x:v>倍率基準12件以上は満たすが、増加件数2件が閾値F未満のため微増条件は成立しない。</x:v>
      </x:c>
    </x:row>
    <x:row r="8" ht="70" customHeight="1">
      <x:c r="A8" s="23" t="str">
        <x:v>TD-007</x:v>
      </x:c>
      <x:c r="B8" s="14" t="str">
        <x:v>JUD-007</x:v>
      </x:c>
      <x:c r="C8" s="14" t="str">
        <x:v>S1</x:v>
      </x:c>
      <x:c r="D8" s="14" t="str">
        <x:v>G1</x:v>
      </x:c>
      <x:c r="E8" s="14" t="str">
        <x:v>LT007</x:v>
      </x:c>
      <x:c r="F8" s="14" t="str">
        <x:v>リトライエラー</x:v>
      </x:c>
      <x:c r="G8" s="15" t="n">
        <x:v>46273</x:v>
      </x:c>
      <x:c r="H8" s="14" t="str">
        <x:v>2026-08-10～2026-09-08</x:v>
      </x:c>
      <x:c r="I8" s="14" t="str">
        <x:v>2026-02-11～2026-08-09</x:v>
      </x:c>
      <x:c r="J8" s="25" t="n">
        <x:v>15</x:v>
      </x:c>
      <x:c r="K8" s="25" t="n">
        <x:v>10</x:v>
      </x:c>
      <x:c r="L8" s="25" t="n">
        <x:v>2</x:v>
      </x:c>
      <x:c r="M8" s="25" t="n">
        <x:v>5</x:v>
      </x:c>
      <x:c r="N8" s="25" t="n">
        <x:f>K8*L8</x:f>
        <x:v>20</x:v>
      </x:c>
      <x:c r="O8" s="25" t="n">
        <x:f>J8-K8</x:f>
        <x:v>5</x:v>
      </x:c>
      <x:c r="P8" s="14" t="str">
        <x:f>IF(J8&gt;=N8,"成立","不成立")</x:f>
        <x:v>不成立</x:v>
      </x:c>
      <x:c r="Q8" s="14" t="str">
        <x:f>IF(O8&gt;=M8,"成立","不成立")</x:f>
        <x:v>成立</x:v>
      </x:c>
      <x:c r="R8" s="26" t="n">
        <x:v>0</x:v>
      </x:c>
      <x:c r="S8" s="24" t="b">
        <x:v>0</x:v>
      </x:c>
      <x:c r="T8" s="10" t="str">
        <x:v>直近30日の日別件数を15件、比較期間180日の日別件数を10件として登録する。</x:v>
      </x:c>
      <x:c r="U8" s="10" t="str">
        <x:v>増加件数5件以上は満たすが、直近平均15件が倍率基準20件未満のため微増条件は成立しない。</x:v>
      </x:c>
    </x:row>
    <x:row r="9" ht="70" customHeight="1">
      <x:c r="A9" s="23" t="str">
        <x:v>TD-008</x:v>
      </x:c>
      <x:c r="B9" s="14" t="str">
        <x:v>JUD-008</x:v>
      </x:c>
      <x:c r="C9" s="14" t="str">
        <x:v>S1</x:v>
      </x:c>
      <x:c r="D9" s="14" t="str">
        <x:v>G1</x:v>
      </x:c>
      <x:c r="E9" s="14" t="str">
        <x:v>LT008</x:v>
      </x:c>
      <x:c r="F9" s="14" t="str">
        <x:v>リトライエラー</x:v>
      </x:c>
      <x:c r="G9" s="15" t="n">
        <x:v>46273</x:v>
      </x:c>
      <x:c r="H9" s="14" t="str">
        <x:v>2026-08-10～2026-09-08</x:v>
      </x:c>
      <x:c r="I9" s="14" t="str">
        <x:v>2026-02-11～2026-08-09</x:v>
      </x:c>
      <x:c r="J9" s="25" t="n">
        <x:v>12</x:v>
      </x:c>
      <x:c r="K9" s="25" t="n">
        <x:v>10</x:v>
      </x:c>
      <x:c r="L9" s="25" t="n">
        <x:v>2</x:v>
      </x:c>
      <x:c r="M9" s="25" t="n">
        <x:v>5</x:v>
      </x:c>
      <x:c r="N9" s="25" t="n">
        <x:f>K9*L9</x:f>
        <x:v>20</x:v>
      </x:c>
      <x:c r="O9" s="25" t="n">
        <x:f>J9-K9</x:f>
        <x:v>2</x:v>
      </x:c>
      <x:c r="P9" s="14" t="str">
        <x:f>IF(J9&gt;=N9,"成立","不成立")</x:f>
        <x:v>不成立</x:v>
      </x:c>
      <x:c r="Q9" s="14" t="str">
        <x:f>IF(O9&gt;=M9,"成立","不成立")</x:f>
        <x:v>不成立</x:v>
      </x:c>
      <x:c r="R9" s="26" t="n">
        <x:v>0</x:v>
      </x:c>
      <x:c r="S9" s="24" t="b">
        <x:v>0</x:v>
      </x:c>
      <x:c r="T9" s="10" t="str">
        <x:v>直近30日の日別件数を12件、比較期間180日の日別件数を10件として登録する。</x:v>
      </x:c>
      <x:c r="U9" s="10" t="str">
        <x:v>倍率条件と増加件数条件のいずれも満たさないため微増条件は成立しない。</x:v>
      </x:c>
    </x:row>
    <x:row r="12" ht="28" customHeight="1">
      <x:c r="A12" s="30" t="str">
        <x:v>運用・異常系テストデータ</x:v>
      </x:c>
      <x:c r="B12" s="31"/>
      <x:c r="C12" s="31"/>
      <x:c r="D12" s="31"/>
      <x:c r="E12" s="31"/>
      <x:c r="F12" s="32"/>
    </x:row>
    <x:row r="13" ht="40" customHeight="1">
      <x:c r="A13" s="6" t="str">
        <x:v>テストデータID</x:v>
      </x:c>
      <x:c r="B13" s="6" t="str">
        <x:v>対応ケース</x:v>
      </x:c>
      <x:c r="C13" s="6" t="str">
        <x:v>設定対象</x:v>
      </x:c>
      <x:c r="D13" s="6" t="str">
        <x:v>設定内容</x:v>
      </x:c>
      <x:c r="E13" s="6" t="str">
        <x:v>確認対象</x:v>
      </x:c>
      <x:c r="F13" s="6" t="str">
        <x:v>期待結果</x:v>
      </x:c>
    </x:row>
    <x:row r="14" ht="62" customHeight="1">
      <x:c r="A14" s="23" t="str">
        <x:v>OD-004</x:v>
      </x:c>
      <x:c r="B14" s="10" t="str">
        <x:v>ERR-001</x:v>
      </x:c>
      <x:c r="C14" s="10" t="str">
        <x:v>参照DB／SQL実行環境</x:v>
      </x:c>
      <x:c r="D14" s="10" t="str">
        <x:v>テスト環境で参照DBを一時的に接続不可にするなど、安全にSQL失敗を再現する。</x:v>
      </x:c>
      <x:c r="E14" s="10" t="str">
        <x:v>ジョブ終了状態、エラーログ、監視通知</x:v>
      </x:c>
      <x:c r="F14" s="10" t="str">
        <x:v>ジョブが異常終了し、エラー内容をログと監視から確認できる。</x:v>
      </x:c>
    </x:row>
  </x:sheetData>
  <x:mergeCells>
    <x:mergeCell ref="A12:F12"/>
  </x:mergeCells>
  <x:pageMargins left="0.7" right="0.7" top="0.75" bottom="0.75" header="0.3" footer="0.3"/>
  <x:tableParts count="2">
    <x:tablePart xmlns:r="http://schemas.openxmlformats.org/officeDocument/2006/relationships" r:id="R53b74c53ef6e4eae"/>
    <x:tablePart xmlns:r="http://schemas.openxmlformats.org/officeDocument/2006/relationships" r:id="Rbd1007cde62c4ab2"/>
  </x:tableParts>
</x:worksheet>
</file>