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d61607169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" sheetId="1" r:id="R6ccce41a0aa14ad5"/>
    <x:sheet xmlns:r="http://schemas.openxmlformats.org/officeDocument/2006/relationships" name="テスト方針" sheetId="2" r:id="Rad69d57d7eed46f8"/>
    <x:sheet xmlns:r="http://schemas.openxmlformats.org/officeDocument/2006/relationships" name="テストケース一覧" sheetId="3" r:id="R774cf5a264a3465e"/>
    <x:sheet xmlns:r="http://schemas.openxmlformats.org/officeDocument/2006/relationships" name="テストデータ" sheetId="4" r:id="Rb7d458fb8b024d96"/>
    <x:sheet xmlns:r="http://schemas.openxmlformats.org/officeDocument/2006/relationships" name="仕様確認事項" sheetId="5" r:id="R699048dc9fdc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0"/>
      <x:color rgb="FF222222"/>
      <x:name val="Carlito"/>
    </x:font>
    <x:font>
      <x:b/>
      <x:sz val="11"/>
      <x:color rgb="FFFFFFFF"/>
      <x:name val="Carlito"/>
    </x:font>
    <x:font>
      <x:b/>
      <x:sz val="10"/>
      <x:color rgb="FF222222"/>
      <x:name val="Carlito"/>
    </x:font>
    <x:font>
      <x:b/>
      <x:sz val="10"/>
      <x:color rgb="FFFFFFFF"/>
      <x:name val="Carlito"/>
    </x:font>
    <x:font>
      <x:b/>
      <x:sz val="10"/>
      <x:color rgb="FF17365D"/>
      <x:name val="Carlito"/>
    </x:font>
    <x:font>
      <x:b/>
      <x:sz val="16"/>
      <x:color rgb="FFFFFFFF"/>
      <x:name val="Yu Gothic"/>
    </x:font>
    <x:font>
      <x:sz val="11"/>
      <x:name val="Yu Gothic"/>
    </x:font>
    <x:font>
      <x:b/>
      <x:sz val="11"/>
      <x:color rgb="FF17365D"/>
      <x:name val="Yu Gothic"/>
    </x:font>
    <x:font>
      <x:sz val="10"/>
      <x:color rgb="FF222222"/>
      <x:name val="Yu Gothic"/>
    </x:font>
    <x:font>
      <x:b/>
      <x:sz val="11"/>
      <x:color rgb="FFFFFFFF"/>
      <x:name val="Yu Gothic"/>
    </x:font>
    <x:font>
      <x:b/>
      <x:sz val="10"/>
      <x:color rgb="FFFFFFFF"/>
      <x:name val="Yu Gothic"/>
    </x:font>
    <x:font>
      <x:b/>
      <x:sz val="10"/>
      <x:color rgb="FF222222"/>
      <x:name val="Yu Gothic"/>
    </x:font>
    <x:font>
      <x:b/>
      <x:sz val="10"/>
      <x:color rgb="FF17365D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6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/>
    </x:xf>
    <x:xf numFmtId="0" fontId="4" fillId="4" borderId="5" xfId="0" applyNumberFormat="1" applyFont="1" applyFill="1" applyBorder="1" applyAlignment="1">
      <x:alignment horizontal="left"/>
    </x:xf>
    <x:xf numFmtId="0" fontId="4" fillId="4" borderId="3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5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6" fillId="2" borderId="2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horizontal="center"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vertical="top" wrapText="1"/>
    </x:xf>
    <x:xf numFmtId="0" fontId="7" fillId="8" borderId="2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top" wrapText="1"/>
    </x:xf>
    <x:xf numFmtId="200" fontId="11" fillId="0" borderId="2" xfId="0" applyNumberFormat="1" applyFont="1" applyFill="1" applyBorder="1" applyAlignment="1">
      <x:alignment vertical="top" wrapText="1"/>
    </x:xf>
    <x:xf numFmtId="0" fontId="12" fillId="4" borderId="3" xfId="0" applyNumberFormat="1" applyFont="1" applyFill="1" applyBorder="1" applyAlignment="1">
      <x:alignment horizontal="left" vertical="center"/>
    </x:xf>
    <x:xf numFmtId="0" fontId="12" fillId="4" borderId="4" xfId="0" applyNumberFormat="1" applyFont="1" applyFill="1" applyBorder="1" applyAlignment="1">
      <x:alignment horizontal="left" vertical="center"/>
    </x:xf>
    <x:xf numFmtId="0" fontId="12" fillId="4" borderId="5" xfId="0" applyNumberFormat="1" applyFont="1" applyFill="1" applyBorder="1" applyAlignment="1">
      <x:alignment horizontal="left" vertical="center"/>
    </x:xf>
    <x:xf numFmtId="0" fontId="13" fillId="2" borderId="1" xfId="0" applyNumberFormat="1" applyFont="1" applyFill="1" applyBorder="1" applyAlignment="1">
      <x:alignment horizontal="center" vertical="top" wrapText="1"/>
    </x:xf>
    <x:xf numFmtId="0" fontId="11" fillId="5" borderId="2" xfId="0" applyNumberFormat="1" applyFont="1" applyFill="1" applyBorder="1" applyAlignment="1">
      <x:alignment vertical="top" wrapText="1"/>
    </x:xf>
    <x:xf numFmtId="0" fontId="11" fillId="6" borderId="2" xfId="0" applyNumberFormat="1" applyFont="1" applyFill="1" applyBorder="1" applyAlignment="1">
      <x:alignment vertical="top" wrapText="1"/>
    </x:xf>
    <x:xf numFmtId="0" fontId="11" fillId="7" borderId="2" xfId="0" applyNumberFormat="1" applyFont="1" applyFill="1" applyBorder="1" applyAlignment="1">
      <x:alignment vertical="top" wrapText="1"/>
    </x:xf>
    <x:xf numFmtId="0" fontId="14" fillId="2" borderId="2" xfId="0" applyNumberFormat="1" applyFont="1" applyFill="1" applyBorder="1" applyAlignment="1">
      <x:alignment horizontal="center" vertical="top" wrapText="1"/>
    </x:xf>
    <x:xf numFmtId="0" fontId="15" fillId="3" borderId="1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5" fillId="8" borderId="1" xfId="0" applyNumberFormat="1" applyFont="1" applyFill="1" applyBorder="1" applyAlignment="1">
      <x:alignment horizontal="center" vertical="top" wrapText="1"/>
    </x:xf>
    <x:xf numFmtId="0" fontId="11" fillId="0" borderId="2" xfId="0" applyNumberFormat="1" applyFont="1" applyFill="1" applyBorder="1" applyAlignment="1">
      <x:alignment horizontal="center" vertical="top" wrapText="1"/>
    </x:xf>
    <x:xf numFmtId="201" fontId="11" fillId="0" borderId="2" xfId="0" applyNumberFormat="1" applyFont="1" applyFill="1" applyBorder="1" applyAlignment="1">
      <x:alignment vertical="top" wrapText="1"/>
    </x:xf>
    <x:xf numFmtId="202" fontId="1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195251321477e" /><Relationship Type="http://schemas.openxmlformats.org/officeDocument/2006/relationships/theme" Target="/xl/theme/theme1.xml" Id="R276bca573d614782" /><Relationship Type="http://schemas.openxmlformats.org/officeDocument/2006/relationships/sharedStrings" Target="/xl/sharedStrings.xml" Id="Rbe91a0d10c0c43a4" /><Relationship Type="http://schemas.openxmlformats.org/officeDocument/2006/relationships/worksheet" Target="/xl/worksheets/sheet1.xml" Id="R6ccce41a0aa14ad5" /><Relationship Type="http://schemas.openxmlformats.org/officeDocument/2006/relationships/worksheet" Target="/xl/worksheets/sheet2.xml" Id="Rad69d57d7eed46f8" /><Relationship Type="http://schemas.openxmlformats.org/officeDocument/2006/relationships/worksheet" Target="/xl/worksheets/sheet3.xml" Id="R774cf5a264a3465e" /><Relationship Type="http://schemas.openxmlformats.org/officeDocument/2006/relationships/worksheet" Target="/xl/worksheets/sheet4.xml" Id="Rb7d458fb8b024d96" /><Relationship Type="http://schemas.openxmlformats.org/officeDocument/2006/relationships/worksheet" Target="/xl/worksheets/sheet5.xml" Id="R699048dc9fdc4fa7" /></Relationships>
</file>

<file path=xl/tables/table1.xml><?xml version="1.0" encoding="utf-8"?>
<x:table xmlns:x="http://schemas.openxmlformats.org/spreadsheetml/2006/main" id="1" name="TestCasesTable" displayName="TestCasesTable" ref="A3:K61" headerRowCount="1" totalsRowCount="0" totalsRowShown="0">
  <x:autoFilter ref="A3:K61"/>
  <x:tableColumns count="11">
    <x:tableColumn id="1" name="No."/>
    <x:tableColumn id="2" name="対象関数"/>
    <x:tableColumn id="3" name="大項目"/>
    <x:tableColumn id="4" name="テスト観点"/>
    <x:tableColumn id="5" name="前提条件・入力値"/>
    <x:tableColumn id="6" name="テスト手順"/>
    <x:tableColumn id="7" name="期待結果"/>
    <x:tableColumn id="8" name="実施結果"/>
    <x:tableColumn id="9" name="判定"/>
    <x:tableColumn id="10" name="エビデンス"/>
    <x:tableColumn id="11" name="備考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hresholdTestDataTable" displayName="ThresholdTestDataTable" ref="A3:O21" headerRowCount="1" totalsRowCount="0" totalsRowShown="0">
  <x:autoFilter ref="A3:O21"/>
  <x:tableColumns count="15">
    <x:tableColumn id="1" name="データID"/>
    <x:tableColumn id="2" name="series_name"/>
    <x:tableColumn id="3" name="gas_type"/>
    <x:tableColumn id="4" name="err_code"/>
    <x:tableColumn id="5" name="err_type"/>
    <x:tableColumn id="6" name="threshold_group_id"/>
    <x:tableColumn id="7" name="threshold_group_name"/>
    <x:tableColumn id="8" name="threshold_a"/>
    <x:tableColumn id="9" name="threshold_b"/>
    <x:tableColumn id="10" name="threshold_c"/>
    <x:tableColumn id="11" name="threshold_d"/>
    <x:tableColumn id="12" name="count_judgment"/>
    <x:tableColumn id="13" name="count_comparison_avg"/>
    <x:tableColumn id="14" name="期待alert_type"/>
    <x:tableColumn id="15" name="補足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ificationQuestionsTable" displayName="SpecificationQuestionsTable" ref="A3:G14" headerRowCount="1" totalsRowCount="0" totalsRowShown="0">
  <x:autoFilter ref="A3:G14"/>
  <x:tableColumns count="7">
    <x:tableColumn id="1" name="No."/>
    <x:tableColumn id="2" name="分類"/>
    <x:tableColumn id="3" name="確認事項"/>
    <x:tableColumn id="4" name="現行コードの動作"/>
    <x:tableColumn id="5" name="影響・リスク"/>
    <x:tableColumn id="6" name="確認結果"/>
    <x:tableColumn id="7" name="対応方針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775ec9614fe4d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483fe5cba1643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7d165abc1d14d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38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51" t="str">
        <x:v>エラー傾向監視アラート処理　単体テスト仕様書兼結果報告書</x:v>
      </x:c>
      <x:c r="B1" s="52"/>
      <x:c r="C1" s="52"/>
      <x:c r="D1" s="52"/>
      <x:c r="E1" s="52"/>
      <x:c r="F1" s="52"/>
      <x:c r="G1" s="52"/>
      <x:c r="H1" s="52"/>
    </x:row>
    <x:row r="2" ht="32" customHeight="1">
      <x:c r="A2" s="52"/>
      <x:c r="B2" s="52"/>
      <x:c r="C2" s="52"/>
      <x:c r="D2" s="52"/>
      <x:c r="E2" s="52"/>
      <x:c r="F2" s="52"/>
      <x:c r="G2" s="52"/>
      <x:c r="H2" s="52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 ht="28" customHeight="1">
      <x:c r="A4" s="53" t="str">
        <x:v>文書名</x:v>
      </x:c>
      <x:c r="B4" s="54" t="str">
        <x:v>単体テスト仕様書兼結果報告書</x:v>
      </x:c>
      <x:c r="C4" s="52"/>
      <x:c r="D4" s="52"/>
      <x:c r="E4" s="52"/>
      <x:c r="F4" s="52"/>
      <x:c r="G4" s="52"/>
      <x:c r="H4" s="52"/>
    </x:row>
    <x:row r="5" ht="28" customHeight="1">
      <x:c r="A5" s="53" t="str">
        <x:v>対象機能</x:v>
      </x:c>
      <x:c r="B5" s="54" t="str">
        <x:v>エラー傾向監視アラート判定・再計算処理</x:v>
      </x:c>
      <x:c r="C5" s="52"/>
      <x:c r="D5" s="52"/>
      <x:c r="E5" s="52"/>
      <x:c r="F5" s="52"/>
      <x:c r="G5" s="52"/>
      <x:c r="H5" s="52"/>
    </x:row>
    <x:row r="6" ht="28" customHeight="1">
      <x:c r="A6" s="53" t="str">
        <x:v>対象関数</x:v>
      </x:c>
      <x:c r="B6" s="54" t="str">
        <x:v>get_alert_recalculation_period / process_error_threshold_alert / delete_alert_results_for_period / apply_threshold_alert_logic / insert_alert_results</x:v>
      </x:c>
      <x:c r="C6" s="52"/>
      <x:c r="D6" s="52"/>
      <x:c r="E6" s="52"/>
      <x:c r="F6" s="52"/>
      <x:c r="G6" s="52"/>
      <x:c r="H6" s="52"/>
    </x:row>
    <x:row r="7" ht="28" customHeight="1">
      <x:c r="A7" s="53" t="str">
        <x:v>作成日</x:v>
      </x:c>
      <x:c r="B7" s="55" t="n">
        <x:v>46266</x:v>
      </x:c>
      <x:c r="C7" s="52"/>
      <x:c r="D7" s="52"/>
      <x:c r="E7" s="52"/>
      <x:c r="F7" s="52"/>
      <x:c r="G7" s="52"/>
      <x:c r="H7" s="52"/>
    </x:row>
    <x:row r="8" ht="28" customHeight="1">
      <x:c r="A8" s="53" t="str">
        <x:v>作成者</x:v>
      </x:c>
      <x:c r="B8" s="54" t="str">
        <x:v>ジョ</x:v>
      </x:c>
      <x:c r="C8" s="52"/>
      <x:c r="D8" s="52"/>
      <x:c r="E8" s="52"/>
      <x:c r="F8" s="52"/>
      <x:c r="G8" s="52"/>
      <x:c r="H8" s="52"/>
    </x:row>
    <x:row r="9" ht="28" customHeight="1">
      <x:c r="A9" s="53" t="str">
        <x:v>版数</x:v>
      </x:c>
      <x:c r="B9" s="54" t="str">
        <x:v>1.0</x:v>
      </x:c>
      <x:c r="C9" s="52"/>
      <x:c r="D9" s="52"/>
      <x:c r="E9" s="52"/>
      <x:c r="F9" s="52"/>
      <x:c r="G9" s="52"/>
      <x:c r="H9" s="52"/>
    </x:row>
    <x:row r="10" ht="28" customHeight="1">
      <x:c r="A10" s="53" t="str">
        <x:v>テスト種別</x:v>
      </x:c>
      <x:c r="B10" s="54" t="str">
        <x:v>単体テスト（モック使用）＋DB結合確認</x:v>
      </x:c>
      <x:c r="C10" s="52"/>
      <x:c r="D10" s="52"/>
      <x:c r="E10" s="52"/>
      <x:c r="F10" s="52"/>
      <x:c r="G10" s="52"/>
      <x:c r="H10" s="52"/>
    </x:row>
    <x:row r="11">
      <x:c r="A11" s="52"/>
      <x:c r="B11" s="52"/>
      <x:c r="C11" s="52"/>
      <x:c r="D11" s="52"/>
      <x:c r="E11" s="52"/>
      <x:c r="F11" s="52"/>
      <x:c r="G11" s="52"/>
      <x:c r="H11" s="52"/>
    </x:row>
    <x:row r="12">
      <x:c r="A12" s="56" t="str">
        <x:v>実施状況サマリー</x:v>
      </x:c>
      <x:c r="B12" s="57"/>
      <x:c r="C12" s="57"/>
      <x:c r="D12" s="57"/>
      <x:c r="E12" s="57"/>
      <x:c r="F12" s="57"/>
      <x:c r="G12" s="57"/>
      <x:c r="H12" s="58"/>
    </x:row>
    <x:row r="13">
      <x:c r="A13" s="52"/>
      <x:c r="B13" s="52"/>
      <x:c r="C13" s="52"/>
      <x:c r="D13" s="52"/>
      <x:c r="E13" s="52"/>
      <x:c r="F13" s="52"/>
      <x:c r="G13" s="52"/>
      <x:c r="H13" s="52"/>
    </x:row>
    <x:row r="14">
      <x:c r="A14" s="59" t="str">
        <x:v>項目</x:v>
      </x:c>
      <x:c r="B14" s="59" t="str">
        <x:v>件数</x:v>
      </x:c>
      <x:c r="C14" s="59" t="str">
        <x:v>説明</x:v>
      </x:c>
      <x:c r="D14" s="59" t="str">
        <x:v>判定基準</x:v>
      </x:c>
      <x:c r="E14" s="52"/>
      <x:c r="F14" s="52"/>
      <x:c r="G14" s="52"/>
      <x:c r="H14" s="52"/>
    </x:row>
    <x:row r="15">
      <x:c r="A15" s="54" t="str">
        <x:v>総テストケース</x:v>
      </x:c>
      <x:c r="B15" s="54" t="n">
        <x:f>COUNTA('テストケース一覧'!A4:A200)</x:f>
        <x:v>58</x:v>
      </x:c>
      <x:c r="C15" s="54" t="str">
        <x:v>テストケース一覧に登録された件数</x:v>
      </x:c>
      <x:c r="D15" s="54" t="str">
        <x:v>―</x:v>
      </x:c>
      <x:c r="E15" s="52"/>
      <x:c r="F15" s="52"/>
      <x:c r="G15" s="52"/>
      <x:c r="H15" s="52"/>
    </x:row>
    <x:row r="16">
      <x:c r="A16" s="60" t="str">
        <x:v>OK</x:v>
      </x:c>
      <x:c r="B16" s="60" t="n">
        <x:f>COUNTIF('テストケース一覧'!I4:I200,"OK")</x:f>
        <x:v>0</x:v>
      </x:c>
      <x:c r="C16" s="60" t="str">
        <x:v>期待結果と実施結果が一致</x:v>
      </x:c>
      <x:c r="D16" s="60" t="str">
        <x:v>合格</x:v>
      </x:c>
      <x:c r="E16" s="52"/>
      <x:c r="F16" s="52"/>
      <x:c r="G16" s="52"/>
      <x:c r="H16" s="52"/>
    </x:row>
    <x:row r="17">
      <x:c r="A17" s="61" t="str">
        <x:v>NG</x:v>
      </x:c>
      <x:c r="B17" s="61" t="n">
        <x:f>COUNTIF('テストケース一覧'!I4:I200,"NG")</x:f>
        <x:v>0</x:v>
      </x:c>
      <x:c r="C17" s="61" t="str">
        <x:v>期待結果と実施結果が不一致</x:v>
      </x:c>
      <x:c r="D17" s="61" t="str">
        <x:v>要修正</x:v>
      </x:c>
      <x:c r="E17" s="52"/>
      <x:c r="F17" s="52"/>
      <x:c r="G17" s="52"/>
      <x:c r="H17" s="52"/>
    </x:row>
    <x:row r="18">
      <x:c r="A18" s="62" t="str">
        <x:v>未実施・その他</x:v>
      </x:c>
      <x:c r="B18" s="62" t="n">
        <x:f>B15-B16-B17</x:f>
        <x:v>58</x:v>
      </x:c>
      <x:c r="C18" s="62" t="str">
        <x:v>未実施または対象外</x:v>
      </x:c>
      <x:c r="D18" s="62" t="str">
        <x:v>未判定</x:v>
      </x:c>
      <x:c r="E18" s="52"/>
      <x:c r="F18" s="52"/>
      <x:c r="G18" s="52"/>
      <x:c r="H18" s="52"/>
    </x:row>
    <x:row r="19">
      <x:c r="A19" s="52"/>
      <x:c r="B19" s="52"/>
      <x:c r="C19" s="52"/>
      <x:c r="D19" s="52"/>
      <x:c r="E19" s="52"/>
      <x:c r="F19" s="52"/>
      <x:c r="G19" s="52"/>
      <x:c r="H19" s="52"/>
    </x:row>
    <x:row r="20">
      <x:c r="A20" s="56" t="str">
        <x:v>改訂履歴</x:v>
      </x:c>
      <x:c r="B20" s="57"/>
      <x:c r="C20" s="57"/>
      <x:c r="D20" s="57"/>
      <x:c r="E20" s="57"/>
      <x:c r="F20" s="57"/>
      <x:c r="G20" s="57"/>
      <x:c r="H20" s="58"/>
    </x:row>
    <x:row r="21">
      <x:c r="A21" s="52"/>
      <x:c r="B21" s="52"/>
      <x:c r="C21" s="52"/>
      <x:c r="D21" s="52"/>
      <x:c r="E21" s="52"/>
      <x:c r="F21" s="52"/>
      <x:c r="G21" s="52"/>
      <x:c r="H21" s="52"/>
    </x:row>
    <x:row r="22">
      <x:c r="A22" s="63" t="str">
        <x:v>版数</x:v>
      </x:c>
      <x:c r="B22" s="63" t="str">
        <x:v>改訂日</x:v>
      </x:c>
      <x:c r="C22" s="63" t="str">
        <x:v>改訂内容</x:v>
      </x:c>
      <x:c r="D22" s="63" t="str">
        <x:v>作成者</x:v>
      </x:c>
      <x:c r="E22" s="63" t="str">
        <x:v>承認者</x:v>
      </x:c>
      <x:c r="F22" s="52"/>
      <x:c r="G22" s="52"/>
      <x:c r="H22" s="52"/>
    </x:row>
    <x:row r="23">
      <x:c r="A23" s="54" t="str">
        <x:v>1.0</x:v>
      </x:c>
      <x:c r="B23" s="55" t="n">
        <x:v>46266</x:v>
      </x:c>
      <x:c r="C23" s="54" t="str">
        <x:v>新規作成</x:v>
      </x:c>
      <x:c r="D23" s="54" t="str">
        <x:v>ジョ</x:v>
      </x:c>
      <x:c r="E23" s="54" t="str"/>
      <x:c r="F23" s="52"/>
      <x:c r="G23" s="52"/>
      <x:c r="H23" s="52"/>
    </x:row>
  </x:sheetData>
  <x:mergeCells>
    <x:mergeCell ref="A1:H2"/>
    <x:mergeCell ref="A12:H12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8" hidden="0" customWidth="1"/>
    <x:col min="3" max="3" width="46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51" t="str">
        <x:v>テスト方針・前提条件</x:v>
      </x:c>
      <x:c r="B1" s="52"/>
      <x:c r="C1" s="52"/>
      <x:c r="D1" s="52"/>
      <x:c r="E1" s="52"/>
      <x:c r="F1" s="52"/>
      <x:c r="G1" s="52"/>
      <x:c r="H1" s="52"/>
    </x:row>
    <x:row r="2" ht="32" customHeight="1">
      <x:c r="A2" s="52"/>
      <x:c r="B2" s="52"/>
      <x:c r="C2" s="52"/>
      <x:c r="D2" s="52"/>
      <x:c r="E2" s="52"/>
      <x:c r="F2" s="52"/>
      <x:c r="G2" s="52"/>
      <x:c r="H2" s="52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>
      <x:c r="A4" s="56" t="str">
        <x:v>1. テスト目的</x:v>
      </x:c>
      <x:c r="B4" s="57"/>
      <x:c r="C4" s="57"/>
      <x:c r="D4" s="57"/>
      <x:c r="E4" s="57"/>
      <x:c r="F4" s="57"/>
      <x:c r="G4" s="57"/>
      <x:c r="H4" s="58"/>
    </x:row>
    <x:row r="5" ht="30" customHeight="1">
      <x:c r="A5" s="54" t="str">
        <x:v>対象関数の期間算出、日次ループ、閾値判定、既存結果削除、分割INSERT、例外処理およびログ出力が、提示されたソースコードの仕様どおり動作することを確認する。</x:v>
      </x:c>
      <x:c r="B5" s="54"/>
      <x:c r="C5" s="54"/>
      <x:c r="D5" s="54"/>
      <x:c r="E5" s="54"/>
      <x:c r="F5" s="54"/>
      <x:c r="G5" s="54"/>
      <x:c r="H5" s="54"/>
    </x:row>
    <x:row r="6" ht="30" customHeight="1">
      <x:c r="A6" s="54"/>
      <x:c r="B6" s="54"/>
      <x:c r="C6" s="54"/>
      <x:c r="D6" s="54"/>
      <x:c r="E6" s="54"/>
      <x:c r="F6" s="54"/>
      <x:c r="G6" s="54"/>
      <x:c r="H6" s="54"/>
    </x:row>
    <x:row r="7">
      <x:c r="A7" s="52"/>
      <x:c r="B7" s="52"/>
      <x:c r="C7" s="52"/>
      <x:c r="D7" s="52"/>
      <x:c r="E7" s="52"/>
      <x:c r="F7" s="52"/>
      <x:c r="G7" s="52"/>
      <x:c r="H7" s="52"/>
    </x:row>
    <x:row r="8">
      <x:c r="A8" s="56" t="str">
        <x:v>2. テスト環境・前提条件</x:v>
      </x:c>
      <x:c r="B8" s="57"/>
      <x:c r="C8" s="57"/>
      <x:c r="D8" s="57"/>
      <x:c r="E8" s="57"/>
      <x:c r="F8" s="57"/>
      <x:c r="G8" s="57"/>
      <x:c r="H8" s="58"/>
    </x:row>
    <x:row r="9" ht="34" customHeight="1">
      <x:c r="A9" s="63" t="str">
        <x:v>項目</x:v>
      </x:c>
      <x:c r="B9" s="63" t="str">
        <x:v>内容</x:v>
      </x:c>
      <x:c r="C9" s="52"/>
      <x:c r="D9" s="52"/>
      <x:c r="E9" s="52"/>
      <x:c r="F9" s="52"/>
      <x:c r="G9" s="52"/>
      <x:c r="H9" s="52"/>
    </x:row>
    <x:row r="10" ht="34" customHeight="1">
      <x:c r="A10" s="64" t="str">
        <x:v>実行環境</x:v>
      </x:c>
      <x:c r="B10" s="54" t="str">
        <x:v>Python 3.x（本番と同一メジャー・マイナーバージョンを推奨）</x:v>
      </x:c>
      <x:c r="C10" s="52"/>
      <x:c r="D10" s="52"/>
      <x:c r="E10" s="52"/>
      <x:c r="F10" s="52"/>
      <x:c r="G10" s="52"/>
      <x:c r="H10" s="52"/>
    </x:row>
    <x:row r="11" ht="34" customHeight="1">
      <x:c r="A11" s="64" t="str">
        <x:v>主要ライブラリ</x:v>
      </x:c>
      <x:c r="B11" s="54" t="str">
        <x:v>pandas / SQLAlchemy相当 / pytest / unittest.mock または monkeypatch</x:v>
      </x:c>
      <x:c r="C11" s="52"/>
      <x:c r="D11" s="52"/>
      <x:c r="E11" s="52"/>
      <x:c r="F11" s="52"/>
      <x:c r="G11" s="52"/>
      <x:c r="H11" s="52"/>
    </x:row>
    <x:row r="12" ht="34" customHeight="1">
      <x:c r="A12" s="64" t="str">
        <x:v>時刻</x:v>
      </x:c>
      <x:c r="B12" s="54" t="str">
        <x:v>datetime.now(JST) をモックし、テストごとに実行日を固定する</x:v>
      </x:c>
      <x:c r="C12" s="52"/>
      <x:c r="D12" s="52"/>
      <x:c r="E12" s="52"/>
      <x:c r="F12" s="52"/>
      <x:c r="G12" s="52"/>
      <x:c r="H12" s="52"/>
    </x:row>
    <x:row r="13" ht="34" customHeight="1">
      <x:c r="A13" s="64" t="str">
        <x:v>DBアクセス</x:v>
      </x:c>
      <x:c r="B13" s="54" t="str">
        <x:v>tidy_db.read_sql、pd.read_sql_query、tidy_db.delete、insert_data をモックする。DB結合確認時のみテスト用DBを使用する</x:v>
      </x:c>
      <x:c r="C13" s="52"/>
      <x:c r="D13" s="52"/>
      <x:c r="E13" s="52"/>
      <x:c r="F13" s="52"/>
      <x:c r="G13" s="52"/>
      <x:c r="H13" s="52"/>
    </x:row>
    <x:row r="14" ht="34" customHeight="1">
      <x:c r="A14" s="64" t="str">
        <x:v>入力DataFrame</x:v>
      </x:c>
      <x:c r="B14" s="54" t="str">
        <x:v>SQL集計済みであり、必要列と数値型が保証されていることを基本前提とする</x:v>
      </x:c>
      <x:c r="C14" s="52"/>
      <x:c r="D14" s="52"/>
      <x:c r="E14" s="52"/>
      <x:c r="F14" s="52"/>
      <x:c r="G14" s="52"/>
      <x:c r="H14" s="52"/>
    </x:row>
    <x:row r="15" ht="34" customHeight="1">
      <x:c r="A15" s="64" t="str">
        <x:v>対象期間</x:v>
      </x:c>
      <x:c r="B15" s="54" t="str">
        <x:v>実行日－3日を判定対象日とし、その前月1日から判定対象日まで（両端を含む）</x:v>
      </x:c>
      <x:c r="C15" s="52"/>
      <x:c r="D15" s="52"/>
      <x:c r="E15" s="52"/>
      <x:c r="F15" s="52"/>
      <x:c r="G15" s="52"/>
      <x:c r="H15" s="52"/>
    </x:row>
    <x:row r="16" ht="34" customHeight="1">
      <x:c r="A16" s="64" t="str">
        <x:v>判定区分</x:v>
      </x:c>
      <x:c r="B16" s="54" t="str">
        <x:v>0:アラートなし、1:新規、2:急増、3:新規・急増</x:v>
      </x:c>
      <x:c r="C16" s="52"/>
      <x:c r="D16" s="52"/>
      <x:c r="E16" s="52"/>
      <x:c r="F16" s="52"/>
      <x:c r="G16" s="52"/>
      <x:c r="H16" s="52"/>
    </x:row>
    <x:row r="17" ht="34" customHeight="1">
      <x:c r="A17" s="64" t="str">
        <x:v>証跡</x:v>
      </x:c>
      <x:c r="B17" s="54" t="str">
        <x:v>pytest実行結果、ログ、モック呼出引数、DB確認SQL結果のスクリーンショットを保存する</x:v>
      </x:c>
      <x:c r="C17" s="52"/>
      <x:c r="D17" s="52"/>
      <x:c r="E17" s="52"/>
      <x:c r="F17" s="52"/>
      <x:c r="G17" s="52"/>
      <x:c r="H17" s="52"/>
    </x:row>
    <x:row r="18" ht="34" customHeight="1">
      <x:c r="A18" s="64" t="str">
        <x:v>実施結果</x:v>
      </x:c>
      <x:c r="B18" s="54" t="str">
        <x:v>期待結果と一致した場合はOK、不一致はNG、未実施は未実施とする</x:v>
      </x:c>
      <x:c r="C18" s="52"/>
      <x:c r="D18" s="52"/>
      <x:c r="E18" s="52"/>
      <x:c r="F18" s="52"/>
      <x:c r="G18" s="52"/>
      <x:c r="H18" s="52"/>
    </x:row>
    <x:row r="19" ht="34" customHeight="1">
      <x:c r="A19" s="52"/>
      <x:c r="B19" s="52"/>
      <x:c r="C19" s="52"/>
      <x:c r="D19" s="52"/>
      <x:c r="E19" s="52"/>
      <x:c r="F19" s="52"/>
      <x:c r="G19" s="52"/>
      <x:c r="H19" s="52"/>
    </x:row>
    <x:row r="20" ht="34" customHeight="1">
      <x:c r="A20" s="56" t="str">
        <x:v>3. モック対象と確認内容</x:v>
      </x:c>
      <x:c r="B20" s="57"/>
      <x:c r="C20" s="57"/>
      <x:c r="D20" s="57"/>
      <x:c r="E20" s="57"/>
      <x:c r="F20" s="57"/>
      <x:c r="G20" s="57"/>
      <x:c r="H20" s="58"/>
    </x:row>
    <x:row r="21" ht="34" customHeight="1">
      <x:c r="A21" s="63" t="str">
        <x:v>対象</x:v>
      </x:c>
      <x:c r="B21" s="63" t="str">
        <x:v>モック内容</x:v>
      </x:c>
      <x:c r="C21" s="63" t="str">
        <x:v>主な確認事項</x:v>
      </x:c>
      <x:c r="D21" s="63" t="str">
        <x:v>備考</x:v>
      </x:c>
      <x:c r="E21" s="52"/>
      <x:c r="F21" s="52"/>
      <x:c r="G21" s="52"/>
      <x:c r="H21" s="52"/>
    </x:row>
    <x:row r="22" ht="34" customHeight="1">
      <x:c r="A22" s="54" t="str">
        <x:v>datetime.now(JST)</x:v>
      </x:c>
      <x:c r="B22" s="54" t="str">
        <x:v>JSTの日付を固定</x:v>
      </x:c>
      <x:c r="C22" s="54" t="str">
        <x:v>today_jst、judgment_date、対象期間</x:v>
      </x:c>
      <x:c r="D22" s="54" t="str">
        <x:v>UTC日付ではなくJST日付であること</x:v>
      </x:c>
      <x:c r="E22" s="52"/>
      <x:c r="F22" s="52"/>
      <x:c r="G22" s="52"/>
      <x:c r="H22" s="52"/>
    </x:row>
    <x:row r="23" ht="34" customHeight="1">
      <x:c r="A23" s="54" t="str">
        <x:v>tidy_db.read_sql</x:v>
      </x:c>
      <x:c r="B23" s="54" t="str">
        <x:v>SQLテンプレートを返却</x:v>
      </x:c>
      <x:c r="C23" s="54" t="str">
        <x:v>テンプレート名</x:v>
      </x:c>
      <x:c r="D23" s="54" t="str">
        <x:v>rec_fhsbu_error_threshold_alert_summary</x:v>
      </x:c>
      <x:c r="E23" s="52"/>
      <x:c r="F23" s="52"/>
      <x:c r="G23" s="52"/>
      <x:c r="H23" s="52"/>
    </x:row>
    <x:row r="24" ht="34" customHeight="1">
      <x:c r="A24" s="54" t="str">
        <x:v>pd.read_sql_query</x:v>
      </x:c>
      <x:c r="B24" s="54" t="str">
        <x:v>日付別DataFrameを返却</x:v>
      </x:c>
      <x:c r="C24" s="54" t="str">
        <x:v>SQL文字列、呼出回数、処理順</x:v>
      </x:c>
      <x:c r="D24" s="54" t="str">
        <x:v>空DataFrameも含む</x:v>
      </x:c>
      <x:c r="E24" s="52"/>
      <x:c r="F24" s="52"/>
      <x:c r="G24" s="52"/>
      <x:c r="H24" s="52"/>
    </x:row>
    <x:row r="25" ht="34" customHeight="1">
      <x:c r="A25" s="54" t="str">
        <x:v>apply_threshold_alert_logic</x:v>
      </x:c>
      <x:c r="B25" s="54" t="str">
        <x:v>判定結果DataFrameを返却</x:v>
      </x:c>
      <x:c r="C25" s="54" t="str">
        <x:v>判定日、呼出回数、結果連結</x:v>
      </x:c>
      <x:c r="D25" s="54" t="str">
        <x:v>process関数テスト時</x:v>
      </x:c>
      <x:c r="E25" s="52"/>
      <x:c r="F25" s="52"/>
      <x:c r="G25" s="52"/>
      <x:c r="H25" s="52"/>
    </x:row>
    <x:row r="26" ht="34" customHeight="1">
      <x:c r="A26" s="54" t="str">
        <x:v>tidy_db.delete</x:v>
      </x:c>
      <x:c r="B26" s="54" t="str">
        <x:v>成功または例外</x:v>
      </x:c>
      <x:c r="C26" s="54" t="str">
        <x:v>期間条件、例外再送出</x:v>
      </x:c>
      <x:c r="D26" s="54" t="str">
        <x:v>削除境界は両端含む</x:v>
      </x:c>
      <x:c r="E26" s="52"/>
      <x:c r="F26" s="52"/>
      <x:c r="G26" s="52"/>
      <x:c r="H26" s="52"/>
    </x:row>
    <x:row r="27" ht="34" customHeight="1">
      <x:c r="A27" s="54" t="str">
        <x:v>insert_data</x:v>
      </x:c>
      <x:c r="B27" s="54" t="str">
        <x:v>成功または例外</x:v>
      </x:c>
      <x:c r="C27" s="54" t="str">
        <x:v>チャンク件数、順序、停止位置</x:v>
      </x:c>
      <x:c r="D27" s="54" t="str">
        <x:v>デフォルト10,000件</x:v>
      </x:c>
      <x:c r="E27" s="52"/>
      <x:c r="F27" s="52"/>
      <x:c r="G27" s="52"/>
      <x:c r="H27" s="52"/>
    </x:row>
    <x:row r="28" ht="34" customHeight="1">
      <x:c r="A28" s="54" t="str">
        <x:v>logger</x:v>
      </x:c>
      <x:c r="B28" s="54" t="str">
        <x:v>ログ呼出を捕捉</x:v>
      </x:c>
      <x:c r="C28" s="54" t="str">
        <x:v>Start/End、進捗、警告、エラー</x:v>
      </x:c>
      <x:c r="D28" s="54" t="str">
        <x:v>文言と重要パラメータを確認</x:v>
      </x:c>
      <x:c r="E28" s="52"/>
      <x:c r="F28" s="52"/>
      <x:c r="G28" s="52"/>
      <x:c r="H28" s="52"/>
    </x:row>
    <x:row r="29" ht="34" customHeight="1">
      <x:c r="A29" s="54" t="str">
        <x:v>ENV</x:v>
      </x:c>
      <x:c r="B29" s="54" t="str">
        <x:v>固定値（例: dev）</x:v>
      </x:c>
      <x:c r="C29" s="54" t="str">
        <x:v>schema名</x:v>
      </x:c>
      <x:c r="D29" s="54" t="str">
        <x:v>qdx3_fhsbu_tidydata_dev</x:v>
      </x:c>
      <x:c r="E29" s="52"/>
      <x:c r="F29" s="52"/>
      <x:c r="G29" s="52"/>
      <x:c r="H29" s="52"/>
    </x:row>
  </x:sheetData>
  <x:mergeCells>
    <x:mergeCell ref="A1:H2"/>
    <x:mergeCell ref="A4:H4"/>
    <x:mergeCell ref="A5:H6"/>
    <x:mergeCell ref="A8:H8"/>
    <x:mergeCell ref="A20:H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26" hidden="0" customWidth="1"/>
    <x:col min="5" max="5" width="42" hidden="0" customWidth="1"/>
    <x:col min="6" max="6" width="44" hidden="0" customWidth="1"/>
    <x:col min="7" max="7" width="58" hidden="0" customWidth="1"/>
    <x:col min="8" max="8" width="36" hidden="0" customWidth="1"/>
    <x:col min="9" max="9" width="12" hidden="0" customWidth="1"/>
    <x:col min="10" max="10" width="24" hidden="0" customWidth="1"/>
    <x:col min="11" max="11" width="28" hidden="0" customWidth="1"/>
  </x:cols>
  <x:sheetData>
    <x:row r="1" ht="32" customHeight="1">
      <x:c r="A1" s="51" t="str">
        <x:v>テストケース一覧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2" customHeight="1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</x:row>
    <x:row r="3" ht="36" customHeight="1">
      <x:c r="A3" s="65" t="str">
        <x:v>No.</x:v>
      </x:c>
      <x:c r="B3" s="65" t="str">
        <x:v>対象関数</x:v>
      </x:c>
      <x:c r="C3" s="65" t="str">
        <x:v>大項目</x:v>
      </x:c>
      <x:c r="D3" s="65" t="str">
        <x:v>テスト観点</x:v>
      </x:c>
      <x:c r="E3" s="65" t="str">
        <x:v>前提条件・入力値</x:v>
      </x:c>
      <x:c r="F3" s="65" t="str">
        <x:v>テスト手順</x:v>
      </x:c>
      <x:c r="G3" s="65" t="str">
        <x:v>期待結果</x:v>
      </x:c>
      <x:c r="H3" s="65" t="str">
        <x:v>実施結果</x:v>
      </x:c>
      <x:c r="I3" s="65" t="str">
        <x:v>判定</x:v>
      </x:c>
      <x:c r="J3" s="65" t="str">
        <x:v>エビデンス</x:v>
      </x:c>
      <x:c r="K3" s="65" t="str">
        <x:v>備考</x:v>
      </x:c>
    </x:row>
    <x:row r="4" ht="60" customHeight="1">
      <x:c r="A4" s="66" t="str">
        <x:v>PER-001</x:v>
      </x:c>
      <x:c r="B4" s="54" t="str">
        <x:v>get_alert_recalculation_period</x:v>
      </x:c>
      <x:c r="C4" s="67" t="str">
        <x:v>正常</x:v>
      </x:c>
      <x:c r="D4" s="54" t="str">
        <x:v>通常月の期間算出</x:v>
      </x:c>
      <x:c r="E4" s="54" t="str">
        <x:v>execution_date=date(2026,8,15)</x:v>
      </x:c>
      <x:c r="F4" s="54" t="str">
        <x:v>関数を実行し、戻り値を取得する。</x:v>
      </x:c>
      <x:c r="G4" s="54" t="str">
        <x:v>period_start=date(2026,7,1)、period_end=date(2026,8,12) のtupleが返る。</x:v>
      </x:c>
      <x:c r="H4" s="54" t="str"/>
      <x:c r="I4" s="67" t="str">
        <x:v>未実施</x:v>
      </x:c>
      <x:c r="J4" s="54" t="str"/>
      <x:c r="K4" s="54" t="str"/>
    </x:row>
    <x:row r="5" ht="60" customHeight="1">
      <x:c r="A5" s="66" t="str">
        <x:v>PER-002</x:v>
      </x:c>
      <x:c r="B5" s="54" t="str">
        <x:v>get_alert_recalculation_period</x:v>
      </x:c>
      <x:c r="C5" s="67" t="str">
        <x:v>境界値</x:v>
      </x:c>
      <x:c r="D5" s="54" t="str">
        <x:v>月初実行で判定日が前月末</x:v>
      </x:c>
      <x:c r="E5" s="54" t="str">
        <x:v>execution_date=date(2026,8,3)</x:v>
      </x:c>
      <x:c r="F5" s="54" t="str">
        <x:v>関数を実行する。</x:v>
      </x:c>
      <x:c r="G5" s="54" t="str">
        <x:v>判定日は2026-07-31、対象期間は2026-06-01～2026-07-31となる。</x:v>
      </x:c>
      <x:c r="H5" s="54" t="str"/>
      <x:c r="I5" s="67" t="str">
        <x:v>未実施</x:v>
      </x:c>
      <x:c r="J5" s="54" t="str"/>
      <x:c r="K5" s="54" t="str"/>
    </x:row>
    <x:row r="6" ht="60" customHeight="1">
      <x:c r="A6" s="66" t="str">
        <x:v>PER-003</x:v>
      </x:c>
      <x:c r="B6" s="54" t="str">
        <x:v>get_alert_recalculation_period</x:v>
      </x:c>
      <x:c r="C6" s="67" t="str">
        <x:v>境界値</x:v>
      </x:c>
      <x:c r="D6" s="54" t="str">
        <x:v>判定日が1月の場合の年跨ぎ</x:v>
      </x:c>
      <x:c r="E6" s="54" t="str">
        <x:v>execution_date=date(2026,1,10)</x:v>
      </x:c>
      <x:c r="F6" s="54" t="str">
        <x:v>関数を実行する。</x:v>
      </x:c>
      <x:c r="G6" s="54" t="str">
        <x:v>判定日は2026-01-07、対象期間は2025-12-01～2026-01-07となる。</x:v>
      </x:c>
      <x:c r="H6" s="54" t="str"/>
      <x:c r="I6" s="67" t="str">
        <x:v>未実施</x:v>
      </x:c>
      <x:c r="J6" s="54" t="str"/>
      <x:c r="K6" s="54" t="str"/>
    </x:row>
    <x:row r="7" ht="60" customHeight="1">
      <x:c r="A7" s="66" t="str">
        <x:v>PER-004</x:v>
      </x:c>
      <x:c r="B7" s="54" t="str">
        <x:v>get_alert_recalculation_period</x:v>
      </x:c>
      <x:c r="C7" s="67" t="str">
        <x:v>境界値</x:v>
      </x:c>
      <x:c r="D7" s="54" t="str">
        <x:v>実行日が1月初日の場合</x:v>
      </x:c>
      <x:c r="E7" s="54" t="str">
        <x:v>execution_date=date(2026,1,1)</x:v>
      </x:c>
      <x:c r="F7" s="54" t="str">
        <x:v>関数を実行する。</x:v>
      </x:c>
      <x:c r="G7" s="54" t="str">
        <x:v>判定日は2025-12-29、対象期間は2025-11-01～2025-12-29となる。</x:v>
      </x:c>
      <x:c r="H7" s="54" t="str"/>
      <x:c r="I7" s="67" t="str">
        <x:v>未実施</x:v>
      </x:c>
      <x:c r="J7" s="54" t="str"/>
      <x:c r="K7" s="54" t="str"/>
    </x:row>
    <x:row r="8" ht="60" customHeight="1">
      <x:c r="A8" s="66" t="str">
        <x:v>PER-005</x:v>
      </x:c>
      <x:c r="B8" s="54" t="str">
        <x:v>get_alert_recalculation_period</x:v>
      </x:c>
      <x:c r="C8" s="67" t="str">
        <x:v>境界値</x:v>
      </x:c>
      <x:c r="D8" s="54" t="str">
        <x:v>うるう日の算出</x:v>
      </x:c>
      <x:c r="E8" s="54" t="str">
        <x:v>execution_date=date(2024,3,3)</x:v>
      </x:c>
      <x:c r="F8" s="54" t="str">
        <x:v>関数を実行する。</x:v>
      </x:c>
      <x:c r="G8" s="54" t="str">
        <x:v>判定日は2024-02-29、対象期間は2024-01-01～2024-02-29となる。</x:v>
      </x:c>
      <x:c r="H8" s="54" t="str"/>
      <x:c r="I8" s="67" t="str">
        <x:v>未実施</x:v>
      </x:c>
      <x:c r="J8" s="54" t="str"/>
      <x:c r="K8" s="54" t="str"/>
    </x:row>
    <x:row r="9" ht="60" customHeight="1">
      <x:c r="A9" s="66" t="str">
        <x:v>PER-006</x:v>
      </x:c>
      <x:c r="B9" s="54" t="str">
        <x:v>get_alert_recalculation_period</x:v>
      </x:c>
      <x:c r="C9" s="67" t="str">
        <x:v>出力型</x:v>
      </x:c>
      <x:c r="D9" s="54" t="str">
        <x:v>戻り値の型</x:v>
      </x:c>
      <x:c r="E9" s="54" t="str">
        <x:v>execution_dateはdate型</x:v>
      </x:c>
      <x:c r="F9" s="54" t="str">
        <x:v>戻り値と各要素の型を確認する。</x:v>
      </x:c>
      <x:c r="G9" s="54" t="str">
        <x:v>戻り値はtuple、period_startとperiod_endはいずれもdate型である。</x:v>
      </x:c>
      <x:c r="H9" s="54" t="str"/>
      <x:c r="I9" s="67" t="str">
        <x:v>未実施</x:v>
      </x:c>
      <x:c r="J9" s="54" t="str"/>
      <x:c r="K9" s="54" t="str"/>
    </x:row>
    <x:row r="10" ht="60" customHeight="1">
      <x:c r="A10" s="66" t="str">
        <x:v>PRC-001</x:v>
      </x:c>
      <x:c r="B10" s="54" t="str">
        <x:v>process_error_threshold_alert</x:v>
      </x:c>
      <x:c r="C10" s="67" t="str">
        <x:v>正常</x:v>
      </x:c>
      <x:c r="D10" s="54" t="str">
        <x:v>複数判定日の結果を連結して登録</x:v>
      </x:c>
      <x:c r="E10" s="54" t="str">
        <x:v>JST実行日=2026-08-15。複数日にalert_dfあり</x:v>
      </x:c>
      <x:c r="F10" s="54" t="str">
        <x:v>関数を実行し、各モックの呼出引数と順序を確認する。</x:v>
      </x:c>
      <x:c r="G10" s="54" t="str">
        <x:v>対象期間2026-07-01～2026-08-12を削除後、日付別に判定し、結果をpd.concatで連結してinsert_alert_resultsを1回呼ぶ。</x:v>
      </x:c>
      <x:c r="H10" s="54" t="str"/>
      <x:c r="I10" s="67" t="str">
        <x:v>未実施</x:v>
      </x:c>
      <x:c r="J10" s="54" t="str"/>
      <x:c r="K10" s="54" t="str"/>
    </x:row>
    <x:row r="11" ht="60" customHeight="1">
      <x:c r="A11" s="66" t="str">
        <x:v>PRC-002</x:v>
      </x:c>
      <x:c r="B11" s="54" t="str">
        <x:v>process_error_threshold_alert</x:v>
      </x:c>
      <x:c r="C11" s="67" t="str">
        <x:v>正常</x:v>
      </x:c>
      <x:c r="D11" s="54" t="str">
        <x:v>全日付のSQL結果が空</x:v>
      </x:c>
      <x:c r="E11" s="54" t="str">
        <x:v>全日付でsummary_df.empty=True</x:v>
      </x:c>
      <x:c r="F11" s="54" t="str">
        <x:v>関数を実行する。</x:v>
      </x:c>
      <x:c r="G11" s="54" t="str">
        <x:v>各日付のSQLは実行されるが、apply_threshold_alert_logicとinsert_alert_resultsは呼ばれず、対象データなしログを出力して終了する。</x:v>
      </x:c>
      <x:c r="H11" s="54" t="str"/>
      <x:c r="I11" s="67" t="str">
        <x:v>未実施</x:v>
      </x:c>
      <x:c r="J11" s="54" t="str"/>
      <x:c r="K11" s="54" t="str"/>
    </x:row>
    <x:row r="12" ht="60" customHeight="1">
      <x:c r="A12" s="66" t="str">
        <x:v>PRC-003</x:v>
      </x:c>
      <x:c r="B12" s="54" t="str">
        <x:v>process_error_threshold_alert</x:v>
      </x:c>
      <x:c r="C12" s="67" t="str">
        <x:v>正常</x:v>
      </x:c>
      <x:c r="D12" s="54" t="str">
        <x:v>一部日付のみSQL結果あり</x:v>
      </x:c>
      <x:c r="E12" s="54" t="str">
        <x:v>空の日とデータありの日を混在させる</x:v>
      </x:c>
      <x:c r="F12" s="54" t="str">
        <x:v>関数を実行する。</x:v>
      </x:c>
      <x:c r="G12" s="54" t="str">
        <x:v>空の日はスキップし、データありの日だけ閾値判定を行う。</x:v>
      </x:c>
      <x:c r="H12" s="54" t="str"/>
      <x:c r="I12" s="67" t="str">
        <x:v>未実施</x:v>
      </x:c>
      <x:c r="J12" s="54" t="str"/>
      <x:c r="K12" s="54" t="str"/>
    </x:row>
    <x:row r="13" ht="60" customHeight="1">
      <x:c r="A13" s="66" t="str">
        <x:v>PRC-004</x:v>
      </x:c>
      <x:c r="B13" s="54" t="str">
        <x:v>process_error_threshold_alert</x:v>
      </x:c>
      <x:c r="C13" s="67" t="str">
        <x:v>正常</x:v>
      </x:c>
      <x:c r="D13" s="54" t="str">
        <x:v>閾値判定結果がすべて0件</x:v>
      </x:c>
      <x:c r="E13" s="54" t="str">
        <x:v>summary_dfあり、apply_threshold_alert_logicは空DataFrameを返す</x:v>
      </x:c>
      <x:c r="F13" s="54" t="str">
        <x:v>関数を実行する。</x:v>
      </x:c>
      <x:c r="G13" s="54" t="str">
        <x:v>alert_framesは空のままとなり、INSERTせずに終了する。</x:v>
      </x:c>
      <x:c r="H13" s="54" t="str"/>
      <x:c r="I13" s="67" t="str">
        <x:v>未実施</x:v>
      </x:c>
      <x:c r="J13" s="54" t="str"/>
      <x:c r="K13" s="54" t="str"/>
    </x:row>
    <x:row r="14" ht="60" customHeight="1">
      <x:c r="A14" s="66" t="str">
        <x:v>PRC-005</x:v>
      </x:c>
      <x:c r="B14" s="54" t="str">
        <x:v>process_error_threshold_alert</x:v>
      </x:c>
      <x:c r="C14" s="67" t="str">
        <x:v>境界値</x:v>
      </x:c>
      <x:c r="D14" s="54" t="str">
        <x:v>対象期間の両端を含む日次ループ</x:v>
      </x:c>
      <x:c r="E14" s="54" t="str">
        <x:v>JST実行日=2026-08-15</x:v>
      </x:c>
      <x:c r="F14" s="54" t="str">
        <x:v>pd.read_sql_queryの呼出日を記録する。</x:v>
      </x:c>
      <x:c r="G14" s="54" t="str">
        <x:v>2026-07-01から2026-08-12まで1日単位で、両端を含めて43回呼ばれる。</x:v>
      </x:c>
      <x:c r="H14" s="54" t="str"/>
      <x:c r="I14" s="67" t="str">
        <x:v>未実施</x:v>
      </x:c>
      <x:c r="J14" s="54" t="str"/>
      <x:c r="K14" s="54" t="str"/>
    </x:row>
    <x:row r="15" ht="60" customHeight="1">
      <x:c r="A15" s="66" t="str">
        <x:v>PRC-006</x:v>
      </x:c>
      <x:c r="B15" s="54" t="str">
        <x:v>process_error_threshold_alert</x:v>
      </x:c>
      <x:c r="C15" s="67" t="str">
        <x:v>SQL</x:v>
      </x:c>
      <x:c r="D15" s="54" t="str">
        <x:v>比較期間の生成</x:v>
      </x:c>
      <x:c r="E15" s="54" t="str">
        <x:v>current_judgment_date=2026-08-12</x:v>
      </x:c>
      <x:c r="F15" s="54" t="str">
        <x:v>生成SQLを確認する。</x:v>
      </x:c>
      <x:c r="G15" s="54" t="str">
        <x:v>comparison_start=2026-08-05、comparison_end=2026-08-11がSQLへ設定される。</x:v>
      </x:c>
      <x:c r="H15" s="54" t="str"/>
      <x:c r="I15" s="67" t="str">
        <x:v>未実施</x:v>
      </x:c>
      <x:c r="J15" s="54" t="str"/>
      <x:c r="K15" s="54" t="str"/>
    </x:row>
    <x:row r="16" ht="60" customHeight="1">
      <x:c r="A16" s="66" t="str">
        <x:v>PRC-007</x:v>
      </x:c>
      <x:c r="B16" s="54" t="str">
        <x:v>process_error_threshold_alert</x:v>
      </x:c>
      <x:c r="C16" s="67" t="str">
        <x:v>SQL</x:v>
      </x:c>
      <x:c r="D16" s="54" t="str">
        <x:v>スキーマ名の生成</x:v>
      </x:c>
      <x:c r="E16" s="54" t="str">
        <x:v>ENV=dev</x:v>
      </x:c>
      <x:c r="F16" s="54" t="str">
        <x:v>tidy_db.read_sqlの戻りSQLへformatされた値を確認する。</x:v>
      </x:c>
      <x:c r="G16" s="54" t="str">
        <x:v>schema=qdx3_fhsbu_tidydata_dev が設定される。</x:v>
      </x:c>
      <x:c r="H16" s="54" t="str"/>
      <x:c r="I16" s="67" t="str">
        <x:v>未実施</x:v>
      </x:c>
      <x:c r="J16" s="54" t="str"/>
      <x:c r="K16" s="54" t="str"/>
    </x:row>
    <x:row r="17" ht="60" customHeight="1">
      <x:c r="A17" s="66" t="str">
        <x:v>PRC-008</x:v>
      </x:c>
      <x:c r="B17" s="54" t="str">
        <x:v>process_error_threshold_alert</x:v>
      </x:c>
      <x:c r="C17" s="67" t="str">
        <x:v>SQL</x:v>
      </x:c>
      <x:c r="D17" s="54" t="str">
        <x:v>SQLテンプレート名</x:v>
      </x:c>
      <x:c r="E17" s="54" t="str">
        <x:v>tidy_db.read_sqlをモック</x:v>
      </x:c>
      <x:c r="F17" s="54" t="str">
        <x:v>呼出引数を確認する。</x:v>
      </x:c>
      <x:c r="G17" s="54" t="str">
        <x:v>rec_fhsbu_error_threshold_alert_summary が1回指定される。</x:v>
      </x:c>
      <x:c r="H17" s="54" t="str"/>
      <x:c r="I17" s="67" t="str">
        <x:v>未実施</x:v>
      </x:c>
      <x:c r="J17" s="54" t="str"/>
      <x:c r="K17" s="54" t="str"/>
    </x:row>
    <x:row r="18" ht="60" customHeight="1">
      <x:c r="A18" s="66" t="str">
        <x:v>PRC-009</x:v>
      </x:c>
      <x:c r="B18" s="54" t="str">
        <x:v>process_error_threshold_alert</x:v>
      </x:c>
      <x:c r="C18" s="67" t="str">
        <x:v>時刻</x:v>
      </x:c>
      <x:c r="D18" s="54" t="str">
        <x:v>JST日付を使用</x:v>
      </x:c>
      <x:c r="E18" s="54" t="str">
        <x:v>UTCでは前日、JSTでは翌日となる時刻を固定</x:v>
      </x:c>
      <x:c r="F18" s="54" t="str">
        <x:v>関数を実行して対象期間を確認する。</x:v>
      </x:c>
      <x:c r="G18" s="54" t="str">
        <x:v>datetime.now(JST).date()に基づくJST日付が実行日として使用される。</x:v>
      </x:c>
      <x:c r="H18" s="54" t="str"/>
      <x:c r="I18" s="67" t="str">
        <x:v>未実施</x:v>
      </x:c>
      <x:c r="J18" s="54" t="str"/>
      <x:c r="K18" s="54" t="str"/>
    </x:row>
    <x:row r="19" ht="60" customHeight="1">
      <x:c r="A19" s="66" t="str">
        <x:v>PRC-010</x:v>
      </x:c>
      <x:c r="B19" s="54" t="str">
        <x:v>process_error_threshold_alert</x:v>
      </x:c>
      <x:c r="C19" s="67" t="str">
        <x:v>処理順</x:v>
      </x:c>
      <x:c r="D19" s="54" t="str">
        <x:v>既存結果削除が照会より先</x:v>
      </x:c>
      <x:c r="E19" s="54" t="str">
        <x:v>各モックの呼出順を記録</x:v>
      </x:c>
      <x:c r="F19" s="54" t="str">
        <x:v>関数を実行する。</x:v>
      </x:c>
      <x:c r="G19" s="54" t="str">
        <x:v>delete_alert_results_for_periodが最初のpd.read_sql_queryより前に1回呼ばれる。</x:v>
      </x:c>
      <x:c r="H19" s="54" t="str"/>
      <x:c r="I19" s="67" t="str">
        <x:v>未実施</x:v>
      </x:c>
      <x:c r="J19" s="54" t="str"/>
      <x:c r="K19" s="54" t="str"/>
    </x:row>
    <x:row r="20" ht="60" customHeight="1">
      <x:c r="A20" s="66" t="str">
        <x:v>PRC-011</x:v>
      </x:c>
      <x:c r="B20" s="54" t="str">
        <x:v>process_error_threshold_alert</x:v>
      </x:c>
      <x:c r="C20" s="67" t="str">
        <x:v>ログ</x:v>
      </x:c>
      <x:c r="D20" s="54" t="str">
        <x:v>開始・終了・完了ログ</x:v>
      </x:c>
      <x:c r="E20" s="54" t="str">
        <x:v>正常にアラート結果あり</x:v>
      </x:c>
      <x:c r="F20" s="54" t="str">
        <x:v>loggerの呼出内容を確認する。</x:v>
      </x:c>
      <x:c r="G20" s="54" t="str">
        <x:v>Start、再計算範囲、判定完了件数、Endが出力される。</x:v>
      </x:c>
      <x:c r="H20" s="54" t="str"/>
      <x:c r="I20" s="67" t="str">
        <x:v>未実施</x:v>
      </x:c>
      <x:c r="J20" s="54" t="str"/>
      <x:c r="K20" s="54" t="str"/>
    </x:row>
    <x:row r="21" ht="60" customHeight="1">
      <x:c r="A21" s="66" t="str">
        <x:v>PRC-012</x:v>
      </x:c>
      <x:c r="B21" s="54" t="str">
        <x:v>process_error_threshold_alert</x:v>
      </x:c>
      <x:c r="C21" s="67" t="str">
        <x:v>異常</x:v>
      </x:c>
      <x:c r="D21" s="54" t="str">
        <x:v>期間削除で例外</x:v>
      </x:c>
      <x:c r="E21" s="54" t="str">
        <x:v>delete_alert_results_for_periodがExceptionを送出</x:v>
      </x:c>
      <x:c r="F21" s="54" t="str">
        <x:v>例外とログを確認する。</x:v>
      </x:c>
      <x:c r="G21" s="54" t="str">
        <x:v>エラーログを出力し、同じ例外を再送出する。finallyによりEndログも必ず出力される。</x:v>
      </x:c>
      <x:c r="H21" s="54" t="str"/>
      <x:c r="I21" s="67" t="str">
        <x:v>未実施</x:v>
      </x:c>
      <x:c r="J21" s="54" t="str"/>
      <x:c r="K21" s="54" t="str"/>
    </x:row>
    <x:row r="22" ht="60" customHeight="1">
      <x:c r="A22" s="66" t="str">
        <x:v>PRC-013</x:v>
      </x:c>
      <x:c r="B22" s="54" t="str">
        <x:v>process_error_threshold_alert</x:v>
      </x:c>
      <x:c r="C22" s="67" t="str">
        <x:v>異常</x:v>
      </x:c>
      <x:c r="D22" s="54" t="str">
        <x:v>SQLテンプレート読込で例外</x:v>
      </x:c>
      <x:c r="E22" s="54" t="str">
        <x:v>tidy_db.read_sqlがExceptionを送出</x:v>
      </x:c>
      <x:c r="F22" s="54" t="str">
        <x:v>関数を実行する。</x:v>
      </x:c>
      <x:c r="G22" s="54" t="str">
        <x:v>エラーログを出力して例外を再送出し、Endログを出力する。</x:v>
      </x:c>
      <x:c r="H22" s="54" t="str"/>
      <x:c r="I22" s="67" t="str">
        <x:v>未実施</x:v>
      </x:c>
      <x:c r="J22" s="54" t="str"/>
      <x:c r="K22" s="54" t="str"/>
    </x:row>
    <x:row r="23" ht="60" customHeight="1">
      <x:c r="A23" s="66" t="str">
        <x:v>PRC-014</x:v>
      </x:c>
      <x:c r="B23" s="54" t="str">
        <x:v>process_error_threshold_alert</x:v>
      </x:c>
      <x:c r="C23" s="67" t="str">
        <x:v>異常</x:v>
      </x:c>
      <x:c r="D23" s="54" t="str">
        <x:v>日次SQL実行途中で例外</x:v>
      </x:c>
      <x:c r="E23" s="54" t="str">
        <x:v>2日目のpd.read_sql_queryがExceptionを送出</x:v>
      </x:c>
      <x:c r="F23" s="54" t="str">
        <x:v>関数を実行する。</x:v>
      </x:c>
      <x:c r="G23" s="54" t="str">
        <x:v>以降の日付処理とINSERTは行わず、例外を再送出し、Endログを出力する。</x:v>
      </x:c>
      <x:c r="H23" s="54" t="str"/>
      <x:c r="I23" s="67" t="str">
        <x:v>未実施</x:v>
      </x:c>
      <x:c r="J23" s="54" t="str"/>
      <x:c r="K23" s="54" t="str"/>
    </x:row>
    <x:row r="24" ht="60" customHeight="1">
      <x:c r="A24" s="66" t="str">
        <x:v>PRC-015</x:v>
      </x:c>
      <x:c r="B24" s="54" t="str">
        <x:v>process_error_threshold_alert</x:v>
      </x:c>
      <x:c r="C24" s="67" t="str">
        <x:v>異常</x:v>
      </x:c>
      <x:c r="D24" s="54" t="str">
        <x:v>閾値判定処理で例外</x:v>
      </x:c>
      <x:c r="E24" s="54" t="str">
        <x:v>apply_threshold_alert_logicがExceptionを送出</x:v>
      </x:c>
      <x:c r="F24" s="54" t="str">
        <x:v>関数を実行する。</x:v>
      </x:c>
      <x:c r="G24" s="54" t="str">
        <x:v>INSERTは行わず、例外を再送出し、エラーログとEndログを出力する。</x:v>
      </x:c>
      <x:c r="H24" s="54" t="str"/>
      <x:c r="I24" s="67" t="str">
        <x:v>未実施</x:v>
      </x:c>
      <x:c r="J24" s="54" t="str"/>
      <x:c r="K24" s="54" t="str"/>
    </x:row>
    <x:row r="25" ht="60" customHeight="1">
      <x:c r="A25" s="66" t="str">
        <x:v>PRC-016</x:v>
      </x:c>
      <x:c r="B25" s="54" t="str">
        <x:v>process_error_threshold_alert</x:v>
      </x:c>
      <x:c r="C25" s="67" t="str">
        <x:v>異常</x:v>
      </x:c>
      <x:c r="D25" s="54" t="str">
        <x:v>最終INSERTで例外</x:v>
      </x:c>
      <x:c r="E25" s="54" t="str">
        <x:v>insert_alert_resultsがExceptionを送出</x:v>
      </x:c>
      <x:c r="F25" s="54" t="str">
        <x:v>関数を実行する。</x:v>
      </x:c>
      <x:c r="G25" s="54" t="str">
        <x:v>完了ログは出力せず、例外を再送出し、エラーログとEndログを出力する。</x:v>
      </x:c>
      <x:c r="H25" s="54" t="str"/>
      <x:c r="I25" s="67" t="str">
        <x:v>未実施</x:v>
      </x:c>
      <x:c r="J25" s="54" t="str"/>
      <x:c r="K25" s="54" t="str"/>
    </x:row>
    <x:row r="26" ht="60" customHeight="1">
      <x:c r="A26" s="66" t="str">
        <x:v>DEL-001</x:v>
      </x:c>
      <x:c r="B26" s="54" t="str">
        <x:v>delete_alert_results_for_period</x:v>
      </x:c>
      <x:c r="C26" s="67" t="str">
        <x:v>正常</x:v>
      </x:c>
      <x:c r="D26" s="54" t="str">
        <x:v>指定期間の削除条件</x:v>
      </x:c>
      <x:c r="E26" s="54" t="str">
        <x:v>period_start=2026-07-01、period_end=2026-08-12</x:v>
      </x:c>
      <x:c r="F26" s="54" t="str">
        <x:v>生成されたDELETE条件とtidy_db.delete呼出を確認する。</x:v>
      </x:c>
      <x:c r="G26" s="54" t="str">
        <x:v>judgment_date &gt;= 2026-07-01 AND judgment_date &lt;= 2026-08-12 の条件で1回削除される。</x:v>
      </x:c>
      <x:c r="H26" s="54" t="str"/>
      <x:c r="I26" s="67" t="str">
        <x:v>未実施</x:v>
      </x:c>
      <x:c r="J26" s="54" t="str"/>
      <x:c r="K26" s="54" t="str"/>
    </x:row>
    <x:row r="27" ht="60" customHeight="1">
      <x:c r="A27" s="66" t="str">
        <x:v>DEL-002</x:v>
      </x:c>
      <x:c r="B27" s="54" t="str">
        <x:v>delete_alert_results_for_period</x:v>
      </x:c>
      <x:c r="C27" s="67" t="str">
        <x:v>境界値</x:v>
      </x:c>
      <x:c r="D27" s="54" t="str">
        <x:v>開始日と終了日が同一</x:v>
      </x:c>
      <x:c r="E27" s="54" t="str">
        <x:v>period_start=period_end=2026-08-12</x:v>
      </x:c>
      <x:c r="F27" s="54" t="str">
        <x:v>関数を実行する。</x:v>
      </x:c>
      <x:c r="G27" s="54" t="str">
        <x:v>judgment_date=2026-08-12のみを対象とする両端包含条件になる。</x:v>
      </x:c>
      <x:c r="H27" s="54" t="str"/>
      <x:c r="I27" s="67" t="str">
        <x:v>未実施</x:v>
      </x:c>
      <x:c r="J27" s="54" t="str"/>
      <x:c r="K27" s="54" t="str"/>
    </x:row>
    <x:row r="28" ht="60" customHeight="1">
      <x:c r="A28" s="66" t="str">
        <x:v>DEL-003</x:v>
      </x:c>
      <x:c r="B28" s="54" t="str">
        <x:v>delete_alert_results_for_period</x:v>
      </x:c>
      <x:c r="C28" s="67" t="str">
        <x:v>正常</x:v>
      </x:c>
      <x:c r="D28" s="54" t="str">
        <x:v>対象レコード0件</x:v>
      </x:c>
      <x:c r="E28" s="54" t="str">
        <x:v>tidy_db.deleteは正常終了</x:v>
      </x:c>
      <x:c r="F28" s="54" t="str">
        <x:v>関数を実行する。</x:v>
      </x:c>
      <x:c r="G28" s="54" t="str">
        <x:v>例外なく終了し、指定期間削除完了ログを出力する。</x:v>
      </x:c>
      <x:c r="H28" s="54" t="str"/>
      <x:c r="I28" s="67" t="str">
        <x:v>未実施</x:v>
      </x:c>
      <x:c r="J28" s="54" t="str"/>
      <x:c r="K28" s="54" t="str"/>
    </x:row>
    <x:row r="29" ht="60" customHeight="1">
      <x:c r="A29" s="66" t="str">
        <x:v>DEL-004</x:v>
      </x:c>
      <x:c r="B29" s="54" t="str">
        <x:v>delete_alert_results_for_period</x:v>
      </x:c>
      <x:c r="C29" s="67" t="str">
        <x:v>異常</x:v>
      </x:c>
      <x:c r="D29" s="54" t="str">
        <x:v>DB削除失敗</x:v>
      </x:c>
      <x:c r="E29" s="54" t="str">
        <x:v>tidy_db.deleteがExceptionを送出</x:v>
      </x:c>
      <x:c r="F29" s="54" t="str">
        <x:v>関数を実行する。</x:v>
      </x:c>
      <x:c r="G29" s="54" t="str">
        <x:v>期間削除失敗ログを出力し、同じ例外を再送出する。</x:v>
      </x:c>
      <x:c r="H29" s="54" t="str"/>
      <x:c r="I29" s="67" t="str">
        <x:v>未実施</x:v>
      </x:c>
      <x:c r="J29" s="54" t="str"/>
      <x:c r="K29" s="54" t="str"/>
    </x:row>
    <x:row r="30" ht="60" customHeight="1">
      <x:c r="A30" s="66" t="str">
        <x:v>ALT-001</x:v>
      </x:c>
      <x:c r="B30" s="54" t="str">
        <x:v>apply_threshold_alert_logic</x:v>
      </x:c>
      <x:c r="C30" s="67" t="str">
        <x:v>正常</x:v>
      </x:c>
      <x:c r="D30" s="54" t="str">
        <x:v>新規のみ成立</x:v>
      </x:c>
      <x:c r="E30" s="54" t="str">
        <x:v>テストデータ TD-001</x:v>
      </x:c>
      <x:c r="F30" s="54" t="str">
        <x:v>関数を実行し出力行を確認する。</x:v>
      </x:c>
      <x:c r="G30" s="54" t="str">
        <x:v>alert_type=1、is_alert=Trueとなる。</x:v>
      </x:c>
      <x:c r="H30" s="54" t="str"/>
      <x:c r="I30" s="67" t="str">
        <x:v>未実施</x:v>
      </x:c>
      <x:c r="J30" s="54" t="str"/>
      <x:c r="K30" s="54" t="str"/>
    </x:row>
    <x:row r="31" ht="60" customHeight="1">
      <x:c r="A31" s="66" t="str">
        <x:v>ALT-002</x:v>
      </x:c>
      <x:c r="B31" s="54" t="str">
        <x:v>apply_threshold_alert_logic</x:v>
      </x:c>
      <x:c r="C31" s="67" t="str">
        <x:v>正常</x:v>
      </x:c>
      <x:c r="D31" s="54" t="str">
        <x:v>急増のみ成立</x:v>
      </x:c>
      <x:c r="E31" s="54" t="str">
        <x:v>テストデータ TD-002</x:v>
      </x:c>
      <x:c r="F31" s="54" t="str">
        <x:v>関数を実行し出力行を確認する。</x:v>
      </x:c>
      <x:c r="G31" s="54" t="str">
        <x:v>alert_type=2、is_alert=Trueとなる。</x:v>
      </x:c>
      <x:c r="H31" s="54" t="str"/>
      <x:c r="I31" s="67" t="str">
        <x:v>未実施</x:v>
      </x:c>
      <x:c r="J31" s="54" t="str"/>
      <x:c r="K31" s="54" t="str"/>
    </x:row>
    <x:row r="32" ht="60" customHeight="1">
      <x:c r="A32" s="66" t="str">
        <x:v>ALT-003</x:v>
      </x:c>
      <x:c r="B32" s="54" t="str">
        <x:v>apply_threshold_alert_logic</x:v>
      </x:c>
      <x:c r="C32" s="67" t="str">
        <x:v>正常</x:v>
      </x:c>
      <x:c r="D32" s="54" t="str">
        <x:v>新規・急増が同時成立</x:v>
      </x:c>
      <x:c r="E32" s="54" t="str">
        <x:v>テストデータ TD-003</x:v>
      </x:c>
      <x:c r="F32" s="54" t="str">
        <x:v>関数を実行し出力行を確認する。</x:v>
      </x:c>
      <x:c r="G32" s="54" t="str">
        <x:v>alert_type=3、is_alert=Trueとなる。</x:v>
      </x:c>
      <x:c r="H32" s="54" t="str"/>
      <x:c r="I32" s="67" t="str">
        <x:v>未実施</x:v>
      </x:c>
      <x:c r="J32" s="54" t="str"/>
      <x:c r="K32" s="54" t="str"/>
    </x:row>
    <x:row r="33" ht="60" customHeight="1">
      <x:c r="A33" s="66" t="str">
        <x:v>ALT-004</x:v>
      </x:c>
      <x:c r="B33" s="54" t="str">
        <x:v>apply_threshold_alert_logic</x:v>
      </x:c>
      <x:c r="C33" s="67" t="str">
        <x:v>正常</x:v>
      </x:c>
      <x:c r="D33" s="54" t="str">
        <x:v>いずれも不成立</x:v>
      </x:c>
      <x:c r="E33" s="54" t="str">
        <x:v>テストデータ TD-004</x:v>
      </x:c>
      <x:c r="F33" s="54" t="str">
        <x:v>関数を実行し出力行を確認する。</x:v>
      </x:c>
      <x:c r="G33" s="54" t="str">
        <x:v>alert_type=0、is_alert=Falseの行が結果DataFrameに含まれる。</x:v>
      </x:c>
      <x:c r="H33" s="54" t="str"/>
      <x:c r="I33" s="67" t="str">
        <x:v>未実施</x:v>
      </x:c>
      <x:c r="J33" s="54" t="str"/>
      <x:c r="K33" s="54" t="str"/>
    </x:row>
    <x:row r="34" ht="60" customHeight="1">
      <x:c r="A34" s="66" t="str">
        <x:v>ALT-005</x:v>
      </x:c>
      <x:c r="B34" s="54" t="str">
        <x:v>apply_threshold_alert_logic</x:v>
      </x:c>
      <x:c r="C34" s="67" t="str">
        <x:v>境界値</x:v>
      </x:c>
      <x:c r="D34" s="54" t="str">
        <x:v>新規判定Aの等号</x:v>
      </x:c>
      <x:c r="E34" s="54" t="str">
        <x:v>テストデータ TD-005</x:v>
      </x:c>
      <x:c r="F34" s="54" t="str">
        <x:v>関数を実行する。</x:v>
      </x:c>
      <x:c r="G34" s="54" t="str">
        <x:v>count_judgment == threshold_aでも新規条件が成立する。</x:v>
      </x:c>
      <x:c r="H34" s="54" t="str"/>
      <x:c r="I34" s="67" t="str">
        <x:v>未実施</x:v>
      </x:c>
      <x:c r="J34" s="54" t="str"/>
      <x:c r="K34" s="54" t="str"/>
    </x:row>
    <x:row r="35" ht="60" customHeight="1">
      <x:c r="A35" s="66" t="str">
        <x:v>ALT-006</x:v>
      </x:c>
      <x:c r="B35" s="54" t="str">
        <x:v>apply_threshold_alert_logic</x:v>
      </x:c>
      <x:c r="C35" s="67" t="str">
        <x:v>境界値</x:v>
      </x:c>
      <x:c r="D35" s="54" t="str">
        <x:v>新規判定Bの等号</x:v>
      </x:c>
      <x:c r="E35" s="54" t="str">
        <x:v>テストデータ TD-006</x:v>
      </x:c>
      <x:c r="F35" s="54" t="str">
        <x:v>関数を実行する。</x:v>
      </x:c>
      <x:c r="G35" s="54" t="str">
        <x:v>count_comparison_avg == threshold_bでも新規条件が成立する。</x:v>
      </x:c>
      <x:c r="H35" s="54" t="str"/>
      <x:c r="I35" s="67" t="str">
        <x:v>未実施</x:v>
      </x:c>
      <x:c r="J35" s="54" t="str"/>
      <x:c r="K35" s="54" t="str"/>
    </x:row>
    <x:row r="36" ht="60" customHeight="1">
      <x:c r="A36" s="66" t="str">
        <x:v>ALT-007</x:v>
      </x:c>
      <x:c r="B36" s="54" t="str">
        <x:v>apply_threshold_alert_logic</x:v>
      </x:c>
      <x:c r="C36" s="67" t="str">
        <x:v>境界値</x:v>
      </x:c>
      <x:c r="D36" s="54" t="str">
        <x:v>Aをわずかに下回る</x:v>
      </x:c>
      <x:c r="E36" s="54" t="str">
        <x:v>テストデータ TD-007</x:v>
      </x:c>
      <x:c r="F36" s="54" t="str">
        <x:v>関数を実行する。</x:v>
      </x:c>
      <x:c r="G36" s="54" t="str">
        <x:v>新規条件は不成立となる。</x:v>
      </x:c>
      <x:c r="H36" s="54" t="str"/>
      <x:c r="I36" s="67" t="str">
        <x:v>未実施</x:v>
      </x:c>
      <x:c r="J36" s="54" t="str"/>
      <x:c r="K36" s="54" t="str"/>
    </x:row>
    <x:row r="37" ht="60" customHeight="1">
      <x:c r="A37" s="66" t="str">
        <x:v>ALT-008</x:v>
      </x:c>
      <x:c r="B37" s="54" t="str">
        <x:v>apply_threshold_alert_logic</x:v>
      </x:c>
      <x:c r="C37" s="67" t="str">
        <x:v>境界値</x:v>
      </x:c>
      <x:c r="D37" s="54" t="str">
        <x:v>Bをわずかに上回る</x:v>
      </x:c>
      <x:c r="E37" s="54" t="str">
        <x:v>テストデータ TD-008</x:v>
      </x:c>
      <x:c r="F37" s="54" t="str">
        <x:v>関数を実行する。</x:v>
      </x:c>
      <x:c r="G37" s="54" t="str">
        <x:v>新規条件は不成立となる。</x:v>
      </x:c>
      <x:c r="H37" s="54" t="str"/>
      <x:c r="I37" s="67" t="str">
        <x:v>未実施</x:v>
      </x:c>
      <x:c r="J37" s="54" t="str"/>
      <x:c r="K37" s="54" t="str"/>
    </x:row>
    <x:row r="38" ht="60" customHeight="1">
      <x:c r="A38" s="66" t="str">
        <x:v>ALT-009</x:v>
      </x:c>
      <x:c r="B38" s="54" t="str">
        <x:v>apply_threshold_alert_logic</x:v>
      </x:c>
      <x:c r="C38" s="67" t="str">
        <x:v>境界値</x:v>
      </x:c>
      <x:c r="D38" s="54" t="str">
        <x:v>急増倍率Cの等号</x:v>
      </x:c>
      <x:c r="E38" s="54" t="str">
        <x:v>テストデータ TD-009</x:v>
      </x:c>
      <x:c r="F38" s="54" t="str">
        <x:v>関数を実行する。</x:v>
      </x:c>
      <x:c r="G38" s="54" t="str">
        <x:v>count_judgment == threshold_c × count_comparison_avgでも倍率条件が成立する。</x:v>
      </x:c>
      <x:c r="H38" s="54" t="str"/>
      <x:c r="I38" s="67" t="str">
        <x:v>未実施</x:v>
      </x:c>
      <x:c r="J38" s="54" t="str"/>
      <x:c r="K38" s="54" t="str"/>
    </x:row>
    <x:row r="39" ht="60" customHeight="1">
      <x:c r="A39" s="66" t="str">
        <x:v>ALT-010</x:v>
      </x:c>
      <x:c r="B39" s="54" t="str">
        <x:v>apply_threshold_alert_logic</x:v>
      </x:c>
      <x:c r="C39" s="67" t="str">
        <x:v>境界値</x:v>
      </x:c>
      <x:c r="D39" s="54" t="str">
        <x:v>増加件数Dの等号</x:v>
      </x:c>
      <x:c r="E39" s="54" t="str">
        <x:v>テストデータ TD-010</x:v>
      </x:c>
      <x:c r="F39" s="54" t="str">
        <x:v>関数を実行する。</x:v>
      </x:c>
      <x:c r="G39" s="54" t="str">
        <x:v>increase_count == threshold_dでも増加件数条件が成立する。</x:v>
      </x:c>
      <x:c r="H39" s="54" t="str"/>
      <x:c r="I39" s="67" t="str">
        <x:v>未実施</x:v>
      </x:c>
      <x:c r="J39" s="54" t="str"/>
      <x:c r="K39" s="54" t="str"/>
    </x:row>
    <x:row r="40" ht="60" customHeight="1">
      <x:c r="A40" s="66" t="str">
        <x:v>ALT-011</x:v>
      </x:c>
      <x:c r="B40" s="54" t="str">
        <x:v>apply_threshold_alert_logic</x:v>
      </x:c>
      <x:c r="C40" s="67" t="str">
        <x:v>境界値</x:v>
      </x:c>
      <x:c r="D40" s="54" t="str">
        <x:v>急増倍率を下回る</x:v>
      </x:c>
      <x:c r="E40" s="54" t="str">
        <x:v>テストデータ TD-011</x:v>
      </x:c>
      <x:c r="F40" s="54" t="str">
        <x:v>関数を実行する。</x:v>
      </x:c>
      <x:c r="G40" s="54" t="str">
        <x:v>急増条件は不成立となる。</x:v>
      </x:c>
      <x:c r="H40" s="54" t="str"/>
      <x:c r="I40" s="67" t="str">
        <x:v>未実施</x:v>
      </x:c>
      <x:c r="J40" s="54" t="str"/>
      <x:c r="K40" s="54" t="str"/>
    </x:row>
    <x:row r="41" ht="60" customHeight="1">
      <x:c r="A41" s="66" t="str">
        <x:v>ALT-012</x:v>
      </x:c>
      <x:c r="B41" s="54" t="str">
        <x:v>apply_threshold_alert_logic</x:v>
      </x:c>
      <x:c r="C41" s="67" t="str">
        <x:v>境界値</x:v>
      </x:c>
      <x:c r="D41" s="54" t="str">
        <x:v>増加件数Dを下回る</x:v>
      </x:c>
      <x:c r="E41" s="54" t="str">
        <x:v>テストデータ TD-012</x:v>
      </x:c>
      <x:c r="F41" s="54" t="str">
        <x:v>関数を実行する。</x:v>
      </x:c>
      <x:c r="G41" s="54" t="str">
        <x:v>急増条件は不成立となる。</x:v>
      </x:c>
      <x:c r="H41" s="54" t="str"/>
      <x:c r="I41" s="67" t="str">
        <x:v>未実施</x:v>
      </x:c>
      <x:c r="J41" s="54" t="str"/>
      <x:c r="K41" s="54" t="str"/>
    </x:row>
    <x:row r="42" ht="60" customHeight="1">
      <x:c r="A42" s="66" t="str">
        <x:v>ALT-013</x:v>
      </x:c>
      <x:c r="B42" s="54" t="str">
        <x:v>apply_threshold_alert_logic</x:v>
      </x:c>
      <x:c r="C42" s="67" t="str">
        <x:v>境界値</x:v>
      </x:c>
      <x:c r="D42" s="54" t="str">
        <x:v>過去平均0</x:v>
      </x:c>
      <x:c r="E42" s="54" t="str">
        <x:v>テストデータ TD-013</x:v>
      </x:c>
      <x:c r="F42" s="54" t="str">
        <x:v>関数を実行する。</x:v>
      </x:c>
      <x:c r="G42" s="54" t="str">
        <x:v>倍率側は count_judgment &gt;= 0 として評価され、増加件数条件を満たすためalert_type=2となる。</x:v>
      </x:c>
      <x:c r="H42" s="54" t="str"/>
      <x:c r="I42" s="67" t="str">
        <x:v>未実施</x:v>
      </x:c>
      <x:c r="J42" s="54" t="str"/>
      <x:c r="K42" s="54" t="str"/>
    </x:row>
    <x:row r="43" ht="60" customHeight="1">
      <x:c r="A43" s="66" t="str">
        <x:v>ALT-014</x:v>
      </x:c>
      <x:c r="B43" s="54" t="str">
        <x:v>apply_threshold_alert_logic</x:v>
      </x:c>
      <x:c r="C43" s="67" t="str">
        <x:v>欠損値</x:v>
      </x:c>
      <x:c r="D43" s="54" t="str">
        <x:v>閾値A～DのいずれかがNULL</x:v>
      </x:c>
      <x:c r="E43" s="54" t="str">
        <x:v>TD-014～TD-017を4行入力</x:v>
      </x:c>
      <x:c r="F43" s="54" t="str">
        <x:v>関数を実行する。</x:v>
      </x:c>
      <x:c r="G43" s="54" t="str">
        <x:v>4行すべてスキップされ、警告ログに各行情報とスキップ合計4行が出力され、空DataFrameが返る。</x:v>
      </x:c>
      <x:c r="H43" s="54" t="str"/>
      <x:c r="I43" s="67" t="str">
        <x:v>未実施</x:v>
      </x:c>
      <x:c r="J43" s="54" t="str"/>
      <x:c r="K43" s="54" t="str"/>
    </x:row>
    <x:row r="44" ht="60" customHeight="1">
      <x:c r="A44" s="66" t="str">
        <x:v>ALT-015</x:v>
      </x:c>
      <x:c r="B44" s="54" t="str">
        <x:v>apply_threshold_alert_logic</x:v>
      </x:c>
      <x:c r="C44" s="67" t="str">
        <x:v>欠損値</x:v>
      </x:c>
      <x:c r="D44" s="54" t="str">
        <x:v>正常行とNULL閾値行が混在</x:v>
      </x:c>
      <x:c r="E44" s="54" t="str">
        <x:v>TD-001とTD-014を入力</x:v>
      </x:c>
      <x:c r="F44" s="54" t="str">
        <x:v>関数を実行する。</x:v>
      </x:c>
      <x:c r="G44" s="54" t="str">
        <x:v>正常行のみ出力され、NULL閾値行はスキップされる。</x:v>
      </x:c>
      <x:c r="H44" s="54" t="str"/>
      <x:c r="I44" s="67" t="str">
        <x:v>未実施</x:v>
      </x:c>
      <x:c r="J44" s="54" t="str"/>
      <x:c r="K44" s="54" t="str"/>
    </x:row>
    <x:row r="45" ht="60" customHeight="1">
      <x:c r="A45" s="66" t="str">
        <x:v>ALT-016</x:v>
      </x:c>
      <x:c r="B45" s="54" t="str">
        <x:v>apply_threshold_alert_logic</x:v>
      </x:c>
      <x:c r="C45" s="67" t="str">
        <x:v>空入力</x:v>
      </x:c>
      <x:c r="D45" s="54" t="str">
        <x:v>0行DataFrame</x:v>
      </x:c>
      <x:c r="E45" s="54" t="str">
        <x:v>必要列を持つ空DataFrame</x:v>
      </x:c>
      <x:c r="F45" s="54" t="str">
        <x:v>関数を実行する。</x:v>
      </x:c>
      <x:c r="G45" s="54" t="str">
        <x:v>空DataFrameを返し、アラート判定対象データなしログを出力する。</x:v>
      </x:c>
      <x:c r="H45" s="54" t="str"/>
      <x:c r="I45" s="67" t="str">
        <x:v>未実施</x:v>
      </x:c>
      <x:c r="J45" s="54" t="str"/>
      <x:c r="K45" s="54" t="str"/>
    </x:row>
    <x:row r="46" ht="60" customHeight="1">
      <x:c r="A46" s="66" t="str">
        <x:v>ALT-017</x:v>
      </x:c>
      <x:c r="B46" s="54" t="str">
        <x:v>apply_threshold_alert_logic</x:v>
      </x:c>
      <x:c r="C46" s="67" t="str">
        <x:v>丸め</x:v>
      </x:c>
      <x:c r="D46" s="54" t="str">
        <x:v>過去平均の小数丸め</x:v>
      </x:c>
      <x:c r="E46" s="54" t="str">
        <x:v>テストデータ TD-018</x:v>
      </x:c>
      <x:c r="F46" s="54" t="str">
        <x:v>関数を実行する。</x:v>
      </x:c>
      <x:c r="G46" s="54" t="str">
        <x:v>count_comparison_avgは小数第2位に丸められ1.24となる。</x:v>
      </x:c>
      <x:c r="H46" s="54" t="str"/>
      <x:c r="I46" s="67" t="str">
        <x:v>未実施</x:v>
      </x:c>
      <x:c r="J46" s="54" t="str"/>
      <x:c r="K46" s="54" t="str"/>
    </x:row>
    <x:row r="47" ht="60" customHeight="1">
      <x:c r="A47" s="66" t="str">
        <x:v>ALT-018</x:v>
      </x:c>
      <x:c r="B47" s="54" t="str">
        <x:v>apply_threshold_alert_logic</x:v>
      </x:c>
      <x:c r="C47" s="67" t="str">
        <x:v>型変換</x:v>
      </x:c>
      <x:c r="D47" s="54" t="str">
        <x:v>ID・件数・閾値の型変換</x:v>
      </x:c>
      <x:c r="E47" s="54" t="str">
        <x:v>err_type='1'、threshold_group_id='10'、count_judgment=5.0、閾値は文字列数値</x:v>
      </x:c>
      <x:c r="F47" s="54" t="str">
        <x:v>出力値と型を確認する。</x:v>
      </x:c>
      <x:c r="G47" s="54" t="str">
        <x:v>err_type、threshold_group_id、count_judgmentはint、threshold_a～dはfloatとなる。</x:v>
      </x:c>
      <x:c r="H47" s="54" t="str"/>
      <x:c r="I47" s="67" t="str">
        <x:v>未実施</x:v>
      </x:c>
      <x:c r="J47" s="54" t="str"/>
      <x:c r="K47" s="54" t="str"/>
    </x:row>
    <x:row r="48" ht="60" customHeight="1">
      <x:c r="A48" s="66" t="str">
        <x:v>ALT-019</x:v>
      </x:c>
      <x:c r="B48" s="54" t="str">
        <x:v>apply_threshold_alert_logic</x:v>
      </x:c>
      <x:c r="C48" s="67" t="str">
        <x:v>出力項目</x:v>
      </x:c>
      <x:c r="D48" s="54" t="str">
        <x:v>出力DataFrameの列</x:v>
      </x:c>
      <x:c r="E48" s="54" t="str">
        <x:v>テストデータ TD-003</x:v>
      </x:c>
      <x:c r="F48" s="54" t="str">
        <x:v>列名と値を確認する。</x:v>
      </x:c>
      <x:c r="G48" s="54" t="str">
        <x:v>judgment_dateからis_alertまで、ソース記載の15項目が正しい値で出力される。</x:v>
      </x:c>
      <x:c r="H48" s="54" t="str"/>
      <x:c r="I48" s="67" t="str">
        <x:v>未実施</x:v>
      </x:c>
      <x:c r="J48" s="54" t="str"/>
      <x:c r="K48" s="54" t="str"/>
    </x:row>
    <x:row r="49" ht="60" customHeight="1">
      <x:c r="A49" s="66" t="str">
        <x:v>ALT-020</x:v>
      </x:c>
      <x:c r="B49" s="54" t="str">
        <x:v>apply_threshold_alert_logic</x:v>
      </x:c>
      <x:c r="C49" s="67" t="str">
        <x:v>複数行</x:v>
      </x:c>
      <x:c r="D49" s="54" t="str">
        <x:v>入力順と行数の保持</x:v>
      </x:c>
      <x:c r="E49" s="54" t="str">
        <x:v>有効な3行を入力</x:v>
      </x:c>
      <x:c r="F49" s="54" t="str">
        <x:v>結果DataFrameを確認する。</x:v>
      </x:c>
      <x:c r="G49" s="54" t="str">
        <x:v>有効行は入力順で3行出力され、重複排除は行われない。</x:v>
      </x:c>
      <x:c r="H49" s="54" t="str"/>
      <x:c r="I49" s="67" t="str">
        <x:v>未実施</x:v>
      </x:c>
      <x:c r="J49" s="54" t="str"/>
      <x:c r="K49" s="54" t="str"/>
    </x:row>
    <x:row r="50" ht="60" customHeight="1">
      <x:c r="A50" s="66" t="str">
        <x:v>ALT-021</x:v>
      </x:c>
      <x:c r="B50" s="54" t="str">
        <x:v>apply_threshold_alert_logic</x:v>
      </x:c>
      <x:c r="C50" s="67" t="str">
        <x:v>異常</x:v>
      </x:c>
      <x:c r="D50" s="54" t="str">
        <x:v>必須列不足</x:v>
      </x:c>
      <x:c r="E50" s="54" t="str">
        <x:v>count_judgment列を欠落させる</x:v>
      </x:c>
      <x:c r="F50" s="54" t="str">
        <x:v>例外を確認する。</x:v>
      </x:c>
      <x:c r="G50" s="54" t="str">
        <x:v>KeyErrorが発生する（本関数内では捕捉しない）。</x:v>
      </x:c>
      <x:c r="H50" s="54" t="str"/>
      <x:c r="I50" s="67" t="str">
        <x:v>未実施</x:v>
      </x:c>
      <x:c r="J50" s="54" t="str"/>
      <x:c r="K50" s="54" t="str"/>
    </x:row>
    <x:row r="51" ht="60" customHeight="1">
      <x:c r="A51" s="66" t="str">
        <x:v>ALT-022</x:v>
      </x:c>
      <x:c r="B51" s="54" t="str">
        <x:v>apply_threshold_alert_logic</x:v>
      </x:c>
      <x:c r="C51" s="67" t="str">
        <x:v>異常</x:v>
      </x:c>
      <x:c r="D51" s="54" t="str">
        <x:v>閾値が数値変換不可</x:v>
      </x:c>
      <x:c r="E51" s="54" t="str">
        <x:v>threshold_a='abc'</x:v>
      </x:c>
      <x:c r="F51" s="54" t="str">
        <x:v>例外を確認する。</x:v>
      </x:c>
      <x:c r="G51" s="54" t="str">
        <x:v>float変換時にValueErrorが発生する。</x:v>
      </x:c>
      <x:c r="H51" s="54" t="str"/>
      <x:c r="I51" s="67" t="str">
        <x:v>未実施</x:v>
      </x:c>
      <x:c r="J51" s="54" t="str"/>
      <x:c r="K51" s="54" t="str"/>
    </x:row>
    <x:row r="52" ht="60" customHeight="1">
      <x:c r="A52" s="66" t="str">
        <x:v>INS-001</x:v>
      </x:c>
      <x:c r="B52" s="54" t="str">
        <x:v>insert_alert_results</x:v>
      </x:c>
      <x:c r="C52" s="67" t="str">
        <x:v>空入力</x:v>
      </x:c>
      <x:c r="D52" s="54" t="str">
        <x:v>0件時はINSERTしない</x:v>
      </x:c>
      <x:c r="E52" s="54" t="str">
        <x:v>0行DataFrame、chunk_size=10000</x:v>
      </x:c>
      <x:c r="F52" s="54" t="str">
        <x:v>関数を実行する。</x:v>
      </x:c>
      <x:c r="G52" s="54" t="str">
        <x:v>insert_dataは呼ばれず、INSERTスキップログを出力する。</x:v>
      </x:c>
      <x:c r="H52" s="54" t="str"/>
      <x:c r="I52" s="67" t="str">
        <x:v>未実施</x:v>
      </x:c>
      <x:c r="J52" s="54" t="str"/>
      <x:c r="K52" s="54" t="str"/>
    </x:row>
    <x:row r="53" ht="60" customHeight="1">
      <x:c r="A53" s="66" t="str">
        <x:v>INS-002</x:v>
      </x:c>
      <x:c r="B53" s="54" t="str">
        <x:v>insert_alert_results</x:v>
      </x:c>
      <x:c r="C53" s="67" t="str">
        <x:v>正常</x:v>
      </x:c>
      <x:c r="D53" s="54" t="str">
        <x:v>1チャンク未満</x:v>
      </x:c>
      <x:c r="E53" s="54" t="str">
        <x:v>9,999行、chunk_size=10000</x:v>
      </x:c>
      <x:c r="F53" s="54" t="str">
        <x:v>呼出回数と件数を確認する。</x:v>
      </x:c>
      <x:c r="G53" s="54" t="str">
        <x:v>9,999行のinsert_dataが1回呼ばれ、完了件数9,999のログを出力する。</x:v>
      </x:c>
      <x:c r="H53" s="54" t="str"/>
      <x:c r="I53" s="67" t="str">
        <x:v>未実施</x:v>
      </x:c>
      <x:c r="J53" s="54" t="str"/>
      <x:c r="K53" s="54" t="str"/>
    </x:row>
    <x:row r="54" ht="60" customHeight="1">
      <x:c r="A54" s="66" t="str">
        <x:v>INS-003</x:v>
      </x:c>
      <x:c r="B54" s="54" t="str">
        <x:v>insert_alert_results</x:v>
      </x:c>
      <x:c r="C54" s="67" t="str">
        <x:v>境界値</x:v>
      </x:c>
      <x:c r="D54" s="54" t="str">
        <x:v>1チャンク丁度</x:v>
      </x:c>
      <x:c r="E54" s="54" t="str">
        <x:v>10,000行、chunk_size=10000</x:v>
      </x:c>
      <x:c r="F54" s="54" t="str">
        <x:v>呼出回数と件数を確認する。</x:v>
      </x:c>
      <x:c r="G54" s="54" t="str">
        <x:v>10,000行のinsert_dataが1回呼ばれる。</x:v>
      </x:c>
      <x:c r="H54" s="54" t="str"/>
      <x:c r="I54" s="67" t="str">
        <x:v>未実施</x:v>
      </x:c>
      <x:c r="J54" s="54" t="str"/>
      <x:c r="K54" s="54" t="str"/>
    </x:row>
    <x:row r="55" ht="60" customHeight="1">
      <x:c r="A55" s="66" t="str">
        <x:v>INS-004</x:v>
      </x:c>
      <x:c r="B55" s="54" t="str">
        <x:v>insert_alert_results</x:v>
      </x:c>
      <x:c r="C55" s="67" t="str">
        <x:v>境界値</x:v>
      </x:c>
      <x:c r="D55" s="54" t="str">
        <x:v>1チャンク超過</x:v>
      </x:c>
      <x:c r="E55" s="54" t="str">
        <x:v>10,001行、chunk_size=10000</x:v>
      </x:c>
      <x:c r="F55" s="54" t="str">
        <x:v>各チャンクの行数を確認する。</x:v>
      </x:c>
      <x:c r="G55" s="54" t="str">
        <x:v>10,000行と1行の2回に分割される。</x:v>
      </x:c>
      <x:c r="H55" s="54" t="str"/>
      <x:c r="I55" s="67" t="str">
        <x:v>未実施</x:v>
      </x:c>
      <x:c r="J55" s="54" t="str"/>
      <x:c r="K55" s="54" t="str"/>
    </x:row>
    <x:row r="56" ht="60" customHeight="1">
      <x:c r="A56" s="66" t="str">
        <x:v>INS-005</x:v>
      </x:c>
      <x:c r="B56" s="54" t="str">
        <x:v>insert_alert_results</x:v>
      </x:c>
      <x:c r="C56" s="67" t="str">
        <x:v>正常</x:v>
      </x:c>
      <x:c r="D56" s="54" t="str">
        <x:v>複数チャンク丁度</x:v>
      </x:c>
      <x:c r="E56" s="54" t="str">
        <x:v>20,000行、chunk_size=10000</x:v>
      </x:c>
      <x:c r="F56" s="54" t="str">
        <x:v>各チャンクの行数を確認する。</x:v>
      </x:c>
      <x:c r="G56" s="54" t="str">
        <x:v>10,000行ずつ2回呼ばれ、合計20,000件となる。</x:v>
      </x:c>
      <x:c r="H56" s="54" t="str"/>
      <x:c r="I56" s="67" t="str">
        <x:v>未実施</x:v>
      </x:c>
      <x:c r="J56" s="54" t="str"/>
      <x:c r="K56" s="54" t="str"/>
    </x:row>
    <x:row r="57" ht="60" customHeight="1">
      <x:c r="A57" s="66" t="str">
        <x:v>INS-006</x:v>
      </x:c>
      <x:c r="B57" s="54" t="str">
        <x:v>insert_alert_results</x:v>
      </x:c>
      <x:c r="C57" s="67" t="str">
        <x:v>正常</x:v>
      </x:c>
      <x:c r="D57" s="54" t="str">
        <x:v>任意チャンクサイズ</x:v>
      </x:c>
      <x:c r="E57" s="54" t="str">
        <x:v>7行、chunk_size=3</x:v>
      </x:c>
      <x:c r="F57" s="54" t="str">
        <x:v>各チャンクの行数を確認する。</x:v>
      </x:c>
      <x:c r="G57" s="54" t="str">
        <x:v>3行、3行、1行の順で3回呼ばれる。</x:v>
      </x:c>
      <x:c r="H57" s="54" t="str"/>
      <x:c r="I57" s="67" t="str">
        <x:v>未実施</x:v>
      </x:c>
      <x:c r="J57" s="54" t="str"/>
      <x:c r="K57" s="54" t="str"/>
    </x:row>
    <x:row r="58" ht="60" customHeight="1">
      <x:c r="A58" s="66" t="str">
        <x:v>INS-007</x:v>
      </x:c>
      <x:c r="B58" s="54" t="str">
        <x:v>insert_alert_results</x:v>
      </x:c>
      <x:c r="C58" s="67" t="str">
        <x:v>正常</x:v>
      </x:c>
      <x:c r="D58" s="54" t="str">
        <x:v>順序と複数判定日の保持</x:v>
      </x:c>
      <x:c r="E58" s="54" t="str">
        <x:v>複数judgment_dateを含むDataFrame</x:v>
      </x:c>
      <x:c r="F58" s="54" t="str">
        <x:v>各insert_dataへ渡されたindexと値を確認する。</x:v>
      </x:c>
      <x:c r="G58" s="54" t="str">
        <x:v>ilocによる元の行順と各judgment_dateが保持され、欠落・重複なく全件渡される。</x:v>
      </x:c>
      <x:c r="H58" s="54" t="str"/>
      <x:c r="I58" s="67" t="str">
        <x:v>未実施</x:v>
      </x:c>
      <x:c r="J58" s="54" t="str"/>
      <x:c r="K58" s="54" t="str"/>
    </x:row>
    <x:row r="59" ht="60" customHeight="1">
      <x:c r="A59" s="66" t="str">
        <x:v>INS-008</x:v>
      </x:c>
      <x:c r="B59" s="54" t="str">
        <x:v>insert_alert_results</x:v>
      </x:c>
      <x:c r="C59" s="67" t="str">
        <x:v>ログ</x:v>
      </x:c>
      <x:c r="D59" s="54" t="str">
        <x:v>進捗・完了ログ</x:v>
      </x:c>
      <x:c r="E59" s="54" t="str">
        <x:v>10,001行、chunk_size=10000</x:v>
      </x:c>
      <x:c r="F59" s="54" t="str">
        <x:v>ログを確認する。</x:v>
      </x:c>
      <x:c r="G59" s="54" t="str">
        <x:v>進捗10,000/10,001、10,001/10,001と、完了10,001件が出力される。</x:v>
      </x:c>
      <x:c r="H59" s="54" t="str"/>
      <x:c r="I59" s="67" t="str">
        <x:v>未実施</x:v>
      </x:c>
      <x:c r="J59" s="54" t="str"/>
      <x:c r="K59" s="54" t="str"/>
    </x:row>
    <x:row r="60" ht="60" customHeight="1">
      <x:c r="A60" s="66" t="str">
        <x:v>INS-009</x:v>
      </x:c>
      <x:c r="B60" s="54" t="str">
        <x:v>insert_alert_results</x:v>
      </x:c>
      <x:c r="C60" s="67" t="str">
        <x:v>異常</x:v>
      </x:c>
      <x:c r="D60" s="54" t="str">
        <x:v>先頭チャンクでINSERT失敗</x:v>
      </x:c>
      <x:c r="E60" s="54" t="str">
        <x:v>insert_dataの1回目がExceptionを送出</x:v>
      </x:c>
      <x:c r="F60" s="54" t="str">
        <x:v>例外と呼出回数を確認する。</x:v>
      </x:c>
      <x:c r="G60" s="54" t="str">
        <x:v>失敗範囲ログを出力し例外を再送出する。後続チャンクは実行されない。</x:v>
      </x:c>
      <x:c r="H60" s="54" t="str"/>
      <x:c r="I60" s="67" t="str">
        <x:v>未実施</x:v>
      </x:c>
      <x:c r="J60" s="54" t="str"/>
      <x:c r="K60" s="54" t="str"/>
    </x:row>
    <x:row r="61" ht="60" customHeight="1">
      <x:c r="A61" s="66" t="str">
        <x:v>INS-010</x:v>
      </x:c>
      <x:c r="B61" s="54" t="str">
        <x:v>insert_alert_results</x:v>
      </x:c>
      <x:c r="C61" s="67" t="str">
        <x:v>異常</x:v>
      </x:c>
      <x:c r="D61" s="54" t="str">
        <x:v>途中チャンクでINSERT失敗</x:v>
      </x:c>
      <x:c r="E61" s="54" t="str">
        <x:v>3チャンク中2回目がExceptionを送出</x:v>
      </x:c>
      <x:c r="F61" s="54" t="str">
        <x:v>例外と呼出回数を確認する。</x:v>
      </x:c>
      <x:c r="G61" s="54" t="str">
        <x:v>1回目成功後、2回目で停止して例外を再送出し、3回目は実行されない。</x:v>
      </x:c>
      <x:c r="H61" s="54" t="str"/>
      <x:c r="I61" s="67" t="str">
        <x:v>未実施</x:v>
      </x:c>
      <x:c r="J61" s="54" t="str"/>
      <x:c r="K61" s="54" t="str"/>
    </x:row>
  </x:sheetData>
  <x:mergeCells>
    <x:mergeCell ref="A1:K2"/>
  </x:mergeCells>
  <x:conditionalFormatting sqref="I4:I61">
    <x:cfRule type="containsText" dxfId="0" priority="1" operator="containsText" text="OK"/>
    <x:cfRule type="containsText" dxfId="1" priority="2" operator="containsText" text="NG"/>
    <x:cfRule type="containsText" dxfId="2" priority="3" operator="containsText" text="未実施"/>
  </x:conditionalFormatting>
  <x:dataValidations count="1">
    <x:dataValidation type="list" sqref="I4:I61">
      <x:formula1>"未実施,OK,NG,対象外"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75ec9614fe4d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4" hidden="0" customWidth="1"/>
    <x:col min="5" max="5" width="11" hidden="0" customWidth="1"/>
    <x:col min="6" max="6" width="19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23" hidden="0" customWidth="1"/>
    <x:col min="14" max="14" width="18" hidden="0" customWidth="1"/>
    <x:col min="15" max="15" width="30" hidden="0" customWidth="1"/>
  </x:cols>
  <x:sheetData>
    <x:row r="1" ht="32" customHeight="1">
      <x:c r="A1" s="51" t="str">
        <x:v>閾値判定テストデータ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2" ht="32" customHeight="1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</x:row>
    <x:row r="3" ht="32" customHeight="1">
      <x:c r="A3" s="65" t="str">
        <x:v>データID</x:v>
      </x:c>
      <x:c r="B3" s="65" t="str">
        <x:v>series_name</x:v>
      </x:c>
      <x:c r="C3" s="65" t="str">
        <x:v>gas_type</x:v>
      </x:c>
      <x:c r="D3" s="65" t="str">
        <x:v>err_code</x:v>
      </x:c>
      <x:c r="E3" s="65" t="str">
        <x:v>err_type</x:v>
      </x:c>
      <x:c r="F3" s="65" t="str">
        <x:v>threshold_group_id</x:v>
      </x:c>
      <x:c r="G3" s="65" t="str">
        <x:v>threshold_group_name</x:v>
      </x:c>
      <x:c r="H3" s="65" t="str">
        <x:v>threshold_a</x:v>
      </x:c>
      <x:c r="I3" s="65" t="str">
        <x:v>threshold_b</x:v>
      </x:c>
      <x:c r="J3" s="65" t="str">
        <x:v>threshold_c</x:v>
      </x:c>
      <x:c r="K3" s="65" t="str">
        <x:v>threshold_d</x:v>
      </x:c>
      <x:c r="L3" s="65" t="str">
        <x:v>count_judgment</x:v>
      </x:c>
      <x:c r="M3" s="65" t="str">
        <x:v>count_comparison_avg</x:v>
      </x:c>
      <x:c r="N3" s="65" t="str">
        <x:v>期待alert_type</x:v>
      </x:c>
      <x:c r="O3" s="65" t="str">
        <x:v>補足</x:v>
      </x:c>
    </x:row>
    <x:row r="4" ht="32" customHeight="1">
      <x:c r="A4" s="66" t="str">
        <x:v>TD-001</x:v>
      </x:c>
      <x:c r="B4" s="54" t="str">
        <x:v>S1</x:v>
      </x:c>
      <x:c r="C4" s="54" t="str">
        <x:v>G1</x:v>
      </x:c>
      <x:c r="D4" s="54" t="str">
        <x:v>E001</x:v>
      </x:c>
      <x:c r="E4" s="54" t="n">
        <x:v>1</x:v>
      </x:c>
      <x:c r="F4" s="54" t="n">
        <x:v>10</x:v>
      </x:c>
      <x:c r="G4" s="54" t="str">
        <x:v>Group-A</x:v>
      </x:c>
      <x:c r="H4" s="68" t="n">
        <x:v>5</x:v>
      </x:c>
      <x:c r="I4" s="68" t="n">
        <x:v>1</x:v>
      </x:c>
      <x:c r="J4" s="68" t="n">
        <x:v>10</x:v>
      </x:c>
      <x:c r="K4" s="68" t="n">
        <x:v>10</x:v>
      </x:c>
      <x:c r="L4" s="68" t="n">
        <x:v>5</x:v>
      </x:c>
      <x:c r="M4" s="68" t="n">
        <x:v>1</x:v>
      </x:c>
      <x:c r="N4" s="69" t="n">
        <x:v>1</x:v>
      </x:c>
      <x:c r="O4" s="54" t="str">
        <x:v>新規のみ</x:v>
      </x:c>
    </x:row>
    <x:row r="5" ht="32" customHeight="1">
      <x:c r="A5" s="66" t="str">
        <x:v>TD-002</x:v>
      </x:c>
      <x:c r="B5" s="54" t="str">
        <x:v>S1</x:v>
      </x:c>
      <x:c r="C5" s="54" t="str">
        <x:v>G1</x:v>
      </x:c>
      <x:c r="D5" s="54" t="str">
        <x:v>E002</x:v>
      </x:c>
      <x:c r="E5" s="54" t="n">
        <x:v>1</x:v>
      </x:c>
      <x:c r="F5" s="54" t="n">
        <x:v>10</x:v>
      </x:c>
      <x:c r="G5" s="54" t="str">
        <x:v>Group-A</x:v>
      </x:c>
      <x:c r="H5" s="68" t="n">
        <x:v>20</x:v>
      </x:c>
      <x:c r="I5" s="68" t="n">
        <x:v>0</x:v>
      </x:c>
      <x:c r="J5" s="68" t="n">
        <x:v>2</x:v>
      </x:c>
      <x:c r="K5" s="68" t="n">
        <x:v>6</x:v>
      </x:c>
      <x:c r="L5" s="68" t="n">
        <x:v>10</x:v>
      </x:c>
      <x:c r="M5" s="68" t="n">
        <x:v>4</x:v>
      </x:c>
      <x:c r="N5" s="69" t="n">
        <x:v>2</x:v>
      </x:c>
      <x:c r="O5" s="54" t="str">
        <x:v>急増のみ（倍率8、増加6）</x:v>
      </x:c>
    </x:row>
    <x:row r="6" ht="32" customHeight="1">
      <x:c r="A6" s="66" t="str">
        <x:v>TD-003</x:v>
      </x:c>
      <x:c r="B6" s="54" t="str">
        <x:v>S1</x:v>
      </x:c>
      <x:c r="C6" s="54" t="str">
        <x:v>G1</x:v>
      </x:c>
      <x:c r="D6" s="54" t="str">
        <x:v>E003</x:v>
      </x:c>
      <x:c r="E6" s="54" t="n">
        <x:v>1</x:v>
      </x:c>
      <x:c r="F6" s="54" t="n">
        <x:v>10</x:v>
      </x:c>
      <x:c r="G6" s="54" t="str">
        <x:v>Group-A</x:v>
      </x:c>
      <x:c r="H6" s="68" t="n">
        <x:v>5</x:v>
      </x:c>
      <x:c r="I6" s="68" t="n">
        <x:v>1</x:v>
      </x:c>
      <x:c r="J6" s="68" t="n">
        <x:v>3</x:v>
      </x:c>
      <x:c r="K6" s="68" t="n">
        <x:v>5</x:v>
      </x:c>
      <x:c r="L6" s="68" t="n">
        <x:v>10</x:v>
      </x:c>
      <x:c r="M6" s="68" t="n">
        <x:v>1</x:v>
      </x:c>
      <x:c r="N6" s="69" t="n">
        <x:v>3</x:v>
      </x:c>
      <x:c r="O6" s="54" t="str">
        <x:v>新規・急増</x:v>
      </x:c>
    </x:row>
    <x:row r="7" ht="32" customHeight="1">
      <x:c r="A7" s="66" t="str">
        <x:v>TD-004</x:v>
      </x:c>
      <x:c r="B7" s="54" t="str">
        <x:v>S1</x:v>
      </x:c>
      <x:c r="C7" s="54" t="str">
        <x:v>G1</x:v>
      </x:c>
      <x:c r="D7" s="54" t="str">
        <x:v>E004</x:v>
      </x:c>
      <x:c r="E7" s="54" t="n">
        <x:v>1</x:v>
      </x:c>
      <x:c r="F7" s="54" t="n">
        <x:v>10</x:v>
      </x:c>
      <x:c r="G7" s="54" t="str">
        <x:v>Group-A</x:v>
      </x:c>
      <x:c r="H7" s="68" t="n">
        <x:v>5</x:v>
      </x:c>
      <x:c r="I7" s="68" t="n">
        <x:v>1</x:v>
      </x:c>
      <x:c r="J7" s="68" t="n">
        <x:v>3</x:v>
      </x:c>
      <x:c r="K7" s="68" t="n">
        <x:v>5</x:v>
      </x:c>
      <x:c r="L7" s="68" t="n">
        <x:v>4</x:v>
      </x:c>
      <x:c r="M7" s="68" t="n">
        <x:v>3</x:v>
      </x:c>
      <x:c r="N7" s="69" t="n">
        <x:v>0</x:v>
      </x:c>
      <x:c r="O7" s="54" t="str">
        <x:v>いずれも不成立</x:v>
      </x:c>
    </x:row>
    <x:row r="8" ht="32" customHeight="1">
      <x:c r="A8" s="66" t="str">
        <x:v>TD-005</x:v>
      </x:c>
      <x:c r="B8" s="54" t="str">
        <x:v>S1</x:v>
      </x:c>
      <x:c r="C8" s="54" t="str">
        <x:v>G1</x:v>
      </x:c>
      <x:c r="D8" s="54" t="str">
        <x:v>E005</x:v>
      </x:c>
      <x:c r="E8" s="54" t="n">
        <x:v>1</x:v>
      </x:c>
      <x:c r="F8" s="54" t="n">
        <x:v>10</x:v>
      </x:c>
      <x:c r="G8" s="54" t="str">
        <x:v>Group-A</x:v>
      </x:c>
      <x:c r="H8" s="68" t="n">
        <x:v>5</x:v>
      </x:c>
      <x:c r="I8" s="68" t="n">
        <x:v>1</x:v>
      </x:c>
      <x:c r="J8" s="68" t="n">
        <x:v>10</x:v>
      </x:c>
      <x:c r="K8" s="68" t="n">
        <x:v>10</x:v>
      </x:c>
      <x:c r="L8" s="68" t="n">
        <x:v>5</x:v>
      </x:c>
      <x:c r="M8" s="68" t="n">
        <x:v>0.5</x:v>
      </x:c>
      <x:c r="N8" s="69" t="n">
        <x:v>1</x:v>
      </x:c>
      <x:c r="O8" s="54" t="str">
        <x:v>A等号</x:v>
      </x:c>
    </x:row>
    <x:row r="9" ht="32" customHeight="1">
      <x:c r="A9" s="66" t="str">
        <x:v>TD-006</x:v>
      </x:c>
      <x:c r="B9" s="54" t="str">
        <x:v>S1</x:v>
      </x:c>
      <x:c r="C9" s="54" t="str">
        <x:v>G1</x:v>
      </x:c>
      <x:c r="D9" s="54" t="str">
        <x:v>E006</x:v>
      </x:c>
      <x:c r="E9" s="54" t="n">
        <x:v>1</x:v>
      </x:c>
      <x:c r="F9" s="54" t="n">
        <x:v>10</x:v>
      </x:c>
      <x:c r="G9" s="54" t="str">
        <x:v>Group-A</x:v>
      </x:c>
      <x:c r="H9" s="68" t="n">
        <x:v>5</x:v>
      </x:c>
      <x:c r="I9" s="68" t="n">
        <x:v>1</x:v>
      </x:c>
      <x:c r="J9" s="68" t="n">
        <x:v>10</x:v>
      </x:c>
      <x:c r="K9" s="68" t="n">
        <x:v>10</x:v>
      </x:c>
      <x:c r="L9" s="68" t="n">
        <x:v>6</x:v>
      </x:c>
      <x:c r="M9" s="68" t="n">
        <x:v>1</x:v>
      </x:c>
      <x:c r="N9" s="69" t="n">
        <x:v>1</x:v>
      </x:c>
      <x:c r="O9" s="54" t="str">
        <x:v>B等号</x:v>
      </x:c>
    </x:row>
    <x:row r="10" ht="32" customHeight="1">
      <x:c r="A10" s="66" t="str">
        <x:v>TD-007</x:v>
      </x:c>
      <x:c r="B10" s="54" t="str">
        <x:v>S1</x:v>
      </x:c>
      <x:c r="C10" s="54" t="str">
        <x:v>G1</x:v>
      </x:c>
      <x:c r="D10" s="54" t="str">
        <x:v>E007</x:v>
      </x:c>
      <x:c r="E10" s="54" t="n">
        <x:v>1</x:v>
      </x:c>
      <x:c r="F10" s="54" t="n">
        <x:v>10</x:v>
      </x:c>
      <x:c r="G10" s="54" t="str">
        <x:v>Group-A</x:v>
      </x:c>
      <x:c r="H10" s="68" t="n">
        <x:v>5</x:v>
      </x:c>
      <x:c r="I10" s="68" t="n">
        <x:v>1</x:v>
      </x:c>
      <x:c r="J10" s="68" t="n">
        <x:v>10</x:v>
      </x:c>
      <x:c r="K10" s="68" t="n">
        <x:v>10</x:v>
      </x:c>
      <x:c r="L10" s="68" t="n">
        <x:v>4</x:v>
      </x:c>
      <x:c r="M10" s="68" t="n">
        <x:v>0.5</x:v>
      </x:c>
      <x:c r="N10" s="69" t="n">
        <x:v>0</x:v>
      </x:c>
      <x:c r="O10" s="54" t="str">
        <x:v>A未満</x:v>
      </x:c>
    </x:row>
    <x:row r="11" ht="32" customHeight="1">
      <x:c r="A11" s="66" t="str">
        <x:v>TD-008</x:v>
      </x:c>
      <x:c r="B11" s="54" t="str">
        <x:v>S1</x:v>
      </x:c>
      <x:c r="C11" s="54" t="str">
        <x:v>G1</x:v>
      </x:c>
      <x:c r="D11" s="54" t="str">
        <x:v>E008</x:v>
      </x:c>
      <x:c r="E11" s="54" t="n">
        <x:v>1</x:v>
      </x:c>
      <x:c r="F11" s="54" t="n">
        <x:v>10</x:v>
      </x:c>
      <x:c r="G11" s="54" t="str">
        <x:v>Group-A</x:v>
      </x:c>
      <x:c r="H11" s="68" t="n">
        <x:v>5</x:v>
      </x:c>
      <x:c r="I11" s="68" t="n">
        <x:v>1</x:v>
      </x:c>
      <x:c r="J11" s="68" t="n">
        <x:v>10</x:v>
      </x:c>
      <x:c r="K11" s="68" t="n">
        <x:v>10</x:v>
      </x:c>
      <x:c r="L11" s="68" t="n">
        <x:v>6</x:v>
      </x:c>
      <x:c r="M11" s="68" t="n">
        <x:v>1.01</x:v>
      </x:c>
      <x:c r="N11" s="69" t="n">
        <x:v>0</x:v>
      </x:c>
      <x:c r="O11" s="54" t="str">
        <x:v>B超過</x:v>
      </x:c>
    </x:row>
    <x:row r="12" ht="32" customHeight="1">
      <x:c r="A12" s="66" t="str">
        <x:v>TD-009</x:v>
      </x:c>
      <x:c r="B12" s="54" t="str">
        <x:v>S1</x:v>
      </x:c>
      <x:c r="C12" s="54" t="str">
        <x:v>G1</x:v>
      </x:c>
      <x:c r="D12" s="54" t="str">
        <x:v>E009</x:v>
      </x:c>
      <x:c r="E12" s="54" t="n">
        <x:v>1</x:v>
      </x:c>
      <x:c r="F12" s="54" t="n">
        <x:v>10</x:v>
      </x:c>
      <x:c r="G12" s="54" t="str">
        <x:v>Group-A</x:v>
      </x:c>
      <x:c r="H12" s="68" t="n">
        <x:v>20</x:v>
      </x:c>
      <x:c r="I12" s="68" t="n">
        <x:v>0</x:v>
      </x:c>
      <x:c r="J12" s="68" t="n">
        <x:v>2.5</x:v>
      </x:c>
      <x:c r="K12" s="68" t="n">
        <x:v>6</x:v>
      </x:c>
      <x:c r="L12" s="68" t="n">
        <x:v>10</x:v>
      </x:c>
      <x:c r="M12" s="68" t="n">
        <x:v>4</x:v>
      </x:c>
      <x:c r="N12" s="69" t="n">
        <x:v>2</x:v>
      </x:c>
      <x:c r="O12" s="54" t="str">
        <x:v>C倍率等号・D等号</x:v>
      </x:c>
    </x:row>
    <x:row r="13" ht="32" customHeight="1">
      <x:c r="A13" s="66" t="str">
        <x:v>TD-010</x:v>
      </x:c>
      <x:c r="B13" s="54" t="str">
        <x:v>S1</x:v>
      </x:c>
      <x:c r="C13" s="54" t="str">
        <x:v>G1</x:v>
      </x:c>
      <x:c r="D13" s="54" t="str">
        <x:v>E010</x:v>
      </x:c>
      <x:c r="E13" s="54" t="n">
        <x:v>1</x:v>
      </x:c>
      <x:c r="F13" s="54" t="n">
        <x:v>10</x:v>
      </x:c>
      <x:c r="G13" s="54" t="str">
        <x:v>Group-A</x:v>
      </x:c>
      <x:c r="H13" s="68" t="n">
        <x:v>20</x:v>
      </x:c>
      <x:c r="I13" s="68" t="n">
        <x:v>0</x:v>
      </x:c>
      <x:c r="J13" s="68" t="n">
        <x:v>2</x:v>
      </x:c>
      <x:c r="K13" s="68" t="n">
        <x:v>6</x:v>
      </x:c>
      <x:c r="L13" s="68" t="n">
        <x:v>10</x:v>
      </x:c>
      <x:c r="M13" s="68" t="n">
        <x:v>4</x:v>
      </x:c>
      <x:c r="N13" s="69" t="n">
        <x:v>2</x:v>
      </x:c>
      <x:c r="O13" s="54" t="str">
        <x:v>増加件数D等号</x:v>
      </x:c>
    </x:row>
    <x:row r="14" ht="32" customHeight="1">
      <x:c r="A14" s="66" t="str">
        <x:v>TD-011</x:v>
      </x:c>
      <x:c r="B14" s="54" t="str">
        <x:v>S1</x:v>
      </x:c>
      <x:c r="C14" s="54" t="str">
        <x:v>G1</x:v>
      </x:c>
      <x:c r="D14" s="54" t="str">
        <x:v>E011</x:v>
      </x:c>
      <x:c r="E14" s="54" t="n">
        <x:v>1</x:v>
      </x:c>
      <x:c r="F14" s="54" t="n">
        <x:v>10</x:v>
      </x:c>
      <x:c r="G14" s="54" t="str">
        <x:v>Group-A</x:v>
      </x:c>
      <x:c r="H14" s="68" t="n">
        <x:v>20</x:v>
      </x:c>
      <x:c r="I14" s="68" t="n">
        <x:v>0</x:v>
      </x:c>
      <x:c r="J14" s="68" t="n">
        <x:v>2.5</x:v>
      </x:c>
      <x:c r="K14" s="68" t="n">
        <x:v>5</x:v>
      </x:c>
      <x:c r="L14" s="68" t="n">
        <x:v>9</x:v>
      </x:c>
      <x:c r="M14" s="68" t="n">
        <x:v>4</x:v>
      </x:c>
      <x:c r="N14" s="69" t="n">
        <x:v>0</x:v>
      </x:c>
      <x:c r="O14" s="54" t="str">
        <x:v>倍率を下回る</x:v>
      </x:c>
    </x:row>
    <x:row r="15" ht="32" customHeight="1">
      <x:c r="A15" s="66" t="str">
        <x:v>TD-012</x:v>
      </x:c>
      <x:c r="B15" s="54" t="str">
        <x:v>S1</x:v>
      </x:c>
      <x:c r="C15" s="54" t="str">
        <x:v>G1</x:v>
      </x:c>
      <x:c r="D15" s="54" t="str">
        <x:v>E012</x:v>
      </x:c>
      <x:c r="E15" s="54" t="n">
        <x:v>1</x:v>
      </x:c>
      <x:c r="F15" s="54" t="n">
        <x:v>10</x:v>
      </x:c>
      <x:c r="G15" s="54" t="str">
        <x:v>Group-A</x:v>
      </x:c>
      <x:c r="H15" s="68" t="n">
        <x:v>20</x:v>
      </x:c>
      <x:c r="I15" s="68" t="n">
        <x:v>0</x:v>
      </x:c>
      <x:c r="J15" s="68" t="n">
        <x:v>2</x:v>
      </x:c>
      <x:c r="K15" s="68" t="n">
        <x:v>7</x:v>
      </x:c>
      <x:c r="L15" s="68" t="n">
        <x:v>10</x:v>
      </x:c>
      <x:c r="M15" s="68" t="n">
        <x:v>4</x:v>
      </x:c>
      <x:c r="N15" s="69" t="n">
        <x:v>0</x:v>
      </x:c>
      <x:c r="O15" s="54" t="str">
        <x:v>増加件数D未満</x:v>
      </x:c>
    </x:row>
    <x:row r="16" ht="32" customHeight="1">
      <x:c r="A16" s="66" t="str">
        <x:v>TD-013</x:v>
      </x:c>
      <x:c r="B16" s="54" t="str">
        <x:v>S1</x:v>
      </x:c>
      <x:c r="C16" s="54" t="str">
        <x:v>G1</x:v>
      </x:c>
      <x:c r="D16" s="54" t="str">
        <x:v>E013</x:v>
      </x:c>
      <x:c r="E16" s="54" t="n">
        <x:v>1</x:v>
      </x:c>
      <x:c r="F16" s="54" t="n">
        <x:v>10</x:v>
      </x:c>
      <x:c r="G16" s="54" t="str">
        <x:v>Group-A</x:v>
      </x:c>
      <x:c r="H16" s="68" t="n">
        <x:v>10</x:v>
      </x:c>
      <x:c r="I16" s="68" t="n">
        <x:v>-1</x:v>
      </x:c>
      <x:c r="J16" s="68" t="n">
        <x:v>2</x:v>
      </x:c>
      <x:c r="K16" s="68" t="n">
        <x:v>5</x:v>
      </x:c>
      <x:c r="L16" s="68" t="n">
        <x:v>5</x:v>
      </x:c>
      <x:c r="M16" s="68" t="n">
        <x:v>0</x:v>
      </x:c>
      <x:c r="N16" s="69" t="n">
        <x:v>2</x:v>
      </x:c>
      <x:c r="O16" s="54" t="str">
        <x:v>過去平均0</x:v>
      </x:c>
    </x:row>
    <x:row r="17" ht="32" customHeight="1">
      <x:c r="A17" s="66" t="str">
        <x:v>TD-014</x:v>
      </x:c>
      <x:c r="B17" s="54" t="str">
        <x:v>S1</x:v>
      </x:c>
      <x:c r="C17" s="54" t="str">
        <x:v>G1</x:v>
      </x:c>
      <x:c r="D17" s="54" t="str">
        <x:v>E014</x:v>
      </x:c>
      <x:c r="E17" s="54" t="n">
        <x:v>1</x:v>
      </x:c>
      <x:c r="F17" s="54" t="n">
        <x:v>10</x:v>
      </x:c>
      <x:c r="G17" s="54" t="str">
        <x:v>Group-A</x:v>
      </x:c>
      <x:c r="H17" s="68"/>
      <x:c r="I17" s="68" t="n">
        <x:v>1</x:v>
      </x:c>
      <x:c r="J17" s="68" t="n">
        <x:v>2</x:v>
      </x:c>
      <x:c r="K17" s="68" t="n">
        <x:v>5</x:v>
      </x:c>
      <x:c r="L17" s="68" t="n">
        <x:v>10</x:v>
      </x:c>
      <x:c r="M17" s="68" t="n">
        <x:v>1</x:v>
      </x:c>
      <x:c r="N17" s="69"/>
      <x:c r="O17" s="54" t="str">
        <x:v>threshold_a=NULL、行スキップ</x:v>
      </x:c>
    </x:row>
    <x:row r="18" ht="32" customHeight="1">
      <x:c r="A18" s="66" t="str">
        <x:v>TD-015</x:v>
      </x:c>
      <x:c r="B18" s="54" t="str">
        <x:v>S1</x:v>
      </x:c>
      <x:c r="C18" s="54" t="str">
        <x:v>G1</x:v>
      </x:c>
      <x:c r="D18" s="54" t="str">
        <x:v>E015</x:v>
      </x:c>
      <x:c r="E18" s="54" t="n">
        <x:v>1</x:v>
      </x:c>
      <x:c r="F18" s="54" t="n">
        <x:v>10</x:v>
      </x:c>
      <x:c r="G18" s="54" t="str">
        <x:v>Group-A</x:v>
      </x:c>
      <x:c r="H18" s="68" t="n">
        <x:v>5</x:v>
      </x:c>
      <x:c r="I18" s="68"/>
      <x:c r="J18" s="68" t="n">
        <x:v>2</x:v>
      </x:c>
      <x:c r="K18" s="68" t="n">
        <x:v>5</x:v>
      </x:c>
      <x:c r="L18" s="68" t="n">
        <x:v>10</x:v>
      </x:c>
      <x:c r="M18" s="68" t="n">
        <x:v>1</x:v>
      </x:c>
      <x:c r="N18" s="69"/>
      <x:c r="O18" s="54" t="str">
        <x:v>threshold_b=NULL、行スキップ</x:v>
      </x:c>
    </x:row>
    <x:row r="19" ht="32" customHeight="1">
      <x:c r="A19" s="66" t="str">
        <x:v>TD-016</x:v>
      </x:c>
      <x:c r="B19" s="54" t="str">
        <x:v>S1</x:v>
      </x:c>
      <x:c r="C19" s="54" t="str">
        <x:v>G1</x:v>
      </x:c>
      <x:c r="D19" s="54" t="str">
        <x:v>E016</x:v>
      </x:c>
      <x:c r="E19" s="54" t="n">
        <x:v>1</x:v>
      </x:c>
      <x:c r="F19" s="54" t="n">
        <x:v>10</x:v>
      </x:c>
      <x:c r="G19" s="54" t="str">
        <x:v>Group-A</x:v>
      </x:c>
      <x:c r="H19" s="68" t="n">
        <x:v>5</x:v>
      </x:c>
      <x:c r="I19" s="68" t="n">
        <x:v>1</x:v>
      </x:c>
      <x:c r="J19" s="68"/>
      <x:c r="K19" s="68" t="n">
        <x:v>5</x:v>
      </x:c>
      <x:c r="L19" s="68" t="n">
        <x:v>10</x:v>
      </x:c>
      <x:c r="M19" s="68" t="n">
        <x:v>1</x:v>
      </x:c>
      <x:c r="N19" s="69"/>
      <x:c r="O19" s="54" t="str">
        <x:v>threshold_c=NULL、行スキップ</x:v>
      </x:c>
    </x:row>
    <x:row r="20" ht="32" customHeight="1">
      <x:c r="A20" s="66" t="str">
        <x:v>TD-017</x:v>
      </x:c>
      <x:c r="B20" s="54" t="str">
        <x:v>S1</x:v>
      </x:c>
      <x:c r="C20" s="54" t="str">
        <x:v>G1</x:v>
      </x:c>
      <x:c r="D20" s="54" t="str">
        <x:v>E017</x:v>
      </x:c>
      <x:c r="E20" s="54" t="n">
        <x:v>1</x:v>
      </x:c>
      <x:c r="F20" s="54" t="n">
        <x:v>10</x:v>
      </x:c>
      <x:c r="G20" s="54" t="str">
        <x:v>Group-A</x:v>
      </x:c>
      <x:c r="H20" s="68" t="n">
        <x:v>5</x:v>
      </x:c>
      <x:c r="I20" s="68" t="n">
        <x:v>1</x:v>
      </x:c>
      <x:c r="J20" s="68" t="n">
        <x:v>2</x:v>
      </x:c>
      <x:c r="K20" s="68"/>
      <x:c r="L20" s="68" t="n">
        <x:v>10</x:v>
      </x:c>
      <x:c r="M20" s="68" t="n">
        <x:v>1</x:v>
      </x:c>
      <x:c r="N20" s="69"/>
      <x:c r="O20" s="54" t="str">
        <x:v>threshold_d=NULL、行スキップ</x:v>
      </x:c>
    </x:row>
    <x:row r="21" ht="32" customHeight="1">
      <x:c r="A21" s="66" t="str">
        <x:v>TD-018</x:v>
      </x:c>
      <x:c r="B21" s="54" t="str">
        <x:v>S1</x:v>
      </x:c>
      <x:c r="C21" s="54" t="str">
        <x:v>G1</x:v>
      </x:c>
      <x:c r="D21" s="54" t="str">
        <x:v>E018</x:v>
      </x:c>
      <x:c r="E21" s="54" t="n">
        <x:v>1</x:v>
      </x:c>
      <x:c r="F21" s="54" t="n">
        <x:v>10</x:v>
      </x:c>
      <x:c r="G21" s="54" t="str">
        <x:v>Group-A</x:v>
      </x:c>
      <x:c r="H21" s="68" t="n">
        <x:v>20</x:v>
      </x:c>
      <x:c r="I21" s="68" t="n">
        <x:v>0</x:v>
      </x:c>
      <x:c r="J21" s="68" t="n">
        <x:v>20</x:v>
      </x:c>
      <x:c r="K21" s="68" t="n">
        <x:v>20</x:v>
      </x:c>
      <x:c r="L21" s="68" t="n">
        <x:v>5</x:v>
      </x:c>
      <x:c r="M21" s="68" t="n">
        <x:v>1.236</x:v>
      </x:c>
      <x:c r="N21" s="69" t="n">
        <x:v>0</x:v>
      </x:c>
      <x:c r="O21" s="54" t="str">
        <x:v>出力平均は1.24</x:v>
      </x:c>
    </x:row>
  </x:sheetData>
  <x:mergeCells>
    <x:mergeCell ref="A1:O2"/>
  </x:mergeCells>
  <x:pageMargins left="0.7" right="0.7" top="0.75" bottom="0.75" header="0.3" footer="0.3"/>
  <x:tableParts count="1">
    <x:tablePart xmlns:r="http://schemas.openxmlformats.org/officeDocument/2006/relationships" r:id="Rf483fe5cba1643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46" hidden="0" customWidth="1"/>
    <x:col min="4" max="4" width="58" hidden="0" customWidth="1"/>
    <x:col min="5" max="5" width="48" hidden="0" customWidth="1"/>
    <x:col min="6" max="6" width="14" hidden="0" customWidth="1"/>
    <x:col min="7" max="7" width="30" hidden="0" customWidth="1"/>
  </x:cols>
  <x:sheetData>
    <x:row r="1" ht="32" customHeight="1">
      <x:c r="A1" s="51" t="str">
        <x:v>仕様確認事項・リスク</x:v>
      </x:c>
      <x:c r="B1" s="52"/>
      <x:c r="C1" s="52"/>
      <x:c r="D1" s="52"/>
      <x:c r="E1" s="52"/>
      <x:c r="F1" s="52"/>
      <x:c r="G1" s="52"/>
    </x:row>
    <x:row r="2" ht="32" customHeight="1">
      <x:c r="A2" s="52"/>
      <x:c r="B2" s="52"/>
      <x:c r="C2" s="52"/>
      <x:c r="D2" s="52"/>
      <x:c r="E2" s="52"/>
      <x:c r="F2" s="52"/>
      <x:c r="G2" s="52"/>
    </x:row>
    <x:row r="3" ht="64" customHeight="1">
      <x:c r="A3" s="65" t="str">
        <x:v>No.</x:v>
      </x:c>
      <x:c r="B3" s="65" t="str">
        <x:v>分類</x:v>
      </x:c>
      <x:c r="C3" s="65" t="str">
        <x:v>確認事項</x:v>
      </x:c>
      <x:c r="D3" s="65" t="str">
        <x:v>現行コードの動作</x:v>
      </x:c>
      <x:c r="E3" s="65" t="str">
        <x:v>影響・リスク</x:v>
      </x:c>
      <x:c r="F3" s="65" t="str">
        <x:v>確認結果</x:v>
      </x:c>
      <x:c r="G3" s="65" t="str">
        <x:v>対応方針</x:v>
      </x:c>
    </x:row>
    <x:row r="4" ht="64" customHeight="1">
      <x:c r="A4" s="66" t="str">
        <x:v>QA-001</x:v>
      </x:c>
      <x:c r="B4" s="54" t="str">
        <x:v>登録対象</x:v>
      </x:c>
      <x:c r="C4" s="54" t="str">
        <x:v>alert_type=0（アラートなし）の行も保存対象でよいか。</x:v>
      </x:c>
      <x:c r="D4" s="54" t="str">
        <x:v>apply_threshold_alert_logicは有効な全行を返すため、process経由でalert_type=0の行もINSERT対象となる。</x:v>
      </x:c>
      <x:c r="E4" s="54" t="str">
        <x:v>テーブル件数増加、QuickSight側でis_alertフィルターが必要。</x:v>
      </x:c>
      <x:c r="F4" s="54" t="str">
        <x:v>未確認</x:v>
      </x:c>
      <x:c r="G4" s="54" t="str">
        <x:v>仕様責任者へ確認</x:v>
      </x:c>
    </x:row>
    <x:row r="5" ht="64" customHeight="1">
      <x:c r="A5" s="66" t="str">
        <x:v>QA-002</x:v>
      </x:c>
      <x:c r="B5" s="54" t="str">
        <x:v>ログ文言</x:v>
      </x:c>
      <x:c r="C5" s="54" t="str">
        <x:v>「アラート判定: N件」は全判定行数か、アラート行数か。</x:v>
      </x:c>
      <x:c r="D5" s="54" t="str">
        <x:v>alert_type=0を含むresult_dfの全行数をN件として出力する。</x:v>
      </x:c>
      <x:c r="E5" s="54" t="str">
        <x:v>運用監視時に実アラート件数と誤認する可能性。</x:v>
      </x:c>
      <x:c r="F5" s="54" t="str">
        <x:v>未確認</x:v>
      </x:c>
      <x:c r="G5" s="54" t="str">
        <x:v>文言または集計方法を確認</x:v>
      </x:c>
    </x:row>
    <x:row r="6" ht="64" customHeight="1">
      <x:c r="A6" s="66" t="str">
        <x:v>QA-003</x:v>
      </x:c>
      <x:c r="B6" s="54" t="str">
        <x:v>再計算範囲</x:v>
      </x:c>
      <x:c r="C6" s="54" t="str">
        <x:v>再計算範囲が「判定対象日の前月1日～判定対象日」でよいか。</x:v>
      </x:c>
      <x:c r="D6" s="54" t="str">
        <x:v>ローリング1か月ではなく、月単位起点で最大約2か月分を再計算する。</x:v>
      </x:c>
      <x:c r="E6" s="54" t="str">
        <x:v>処理件数・処理時間が月後半ほど増える。</x:v>
      </x:c>
      <x:c r="F6" s="54" t="str">
        <x:v>未確認</x:v>
      </x:c>
      <x:c r="G6" s="54" t="str">
        <x:v>設計書と照合</x:v>
      </x:c>
    </x:row>
    <x:row r="7" ht="64" customHeight="1">
      <x:c r="A7" s="66" t="str">
        <x:v>QA-004</x:v>
      </x:c>
      <x:c r="B7" s="54" t="str">
        <x:v>トランザクション</x:v>
      </x:c>
      <x:c r="C7" s="54" t="str">
        <x:v>期間削除から全件再INSERTまでを同一トランザクションにする必要があるか。</x:v>
      </x:c>
      <x:c r="D7" s="54" t="str">
        <x:v>削除後、SQL・判定・INSERTのいずれかで失敗すると、削除済み期間が欠損する可能性がある。</x:v>
      </x:c>
      <x:c r="E7" s="54" t="str">
        <x:v>QuickSightに欠損データが表示される可能性。</x:v>
      </x:c>
      <x:c r="F7" s="54" t="str">
        <x:v>未確認</x:v>
      </x:c>
      <x:c r="G7" s="54" t="str">
        <x:v>DBトランザクション方式を確認</x:v>
      </x:c>
    </x:row>
    <x:row r="8" ht="64" customHeight="1">
      <x:c r="A8" s="66" t="str">
        <x:v>QA-005</x:v>
      </x:c>
      <x:c r="B8" s="54" t="str">
        <x:v>分割INSERT</x:v>
      </x:c>
      <x:c r="C8" s="54" t="str">
        <x:v>途中チャンク失敗時のロールバック範囲はどこまでか。</x:v>
      </x:c>
      <x:c r="D8" s="54" t="str">
        <x:v>insert_data/tidy_db側のトランザクション仕様次第では、成功済みチャンクだけ残る。</x:v>
      </x:c>
      <x:c r="E8" s="54" t="str">
        <x:v>部分登録・再実行時の整合性に影響。</x:v>
      </x:c>
      <x:c r="F8" s="54" t="str">
        <x:v>未確認</x:v>
      </x:c>
      <x:c r="G8" s="54" t="str">
        <x:v>コミット単位を確認</x:v>
      </x:c>
    </x:row>
    <x:row r="9" ht="64" customHeight="1">
      <x:c r="A9" s="66" t="str">
        <x:v>QA-006</x:v>
      </x:c>
      <x:c r="B9" s="54" t="str">
        <x:v>NULL閾値</x:v>
      </x:c>
      <x:c r="C9" s="54" t="str">
        <x:v>閾値A～DのいずれかがNULLの場合、警告して行を除外する仕様でよいか。</x:v>
      </x:c>
      <x:c r="D9" s="54" t="str">
        <x:v>該当行をスキップし、アラート結果を作成しない。</x:v>
      </x:c>
      <x:c r="E9" s="54" t="str">
        <x:v>設定漏れが長期間見逃される可能性。</x:v>
      </x:c>
      <x:c r="F9" s="54" t="str">
        <x:v>未確認</x:v>
      </x:c>
      <x:c r="G9" s="54" t="str">
        <x:v>運用通知要否を確認</x:v>
      </x:c>
    </x:row>
    <x:row r="10" ht="64" customHeight="1">
      <x:c r="A10" s="66" t="str">
        <x:v>QA-007</x:v>
      </x:c>
      <x:c r="B10" s="54" t="str">
        <x:v>入力妥当性</x:v>
      </x:c>
      <x:c r="C10" s="54" t="str">
        <x:v>負数・0・非数値の閾値に対するバリデーションは不要か。</x:v>
      </x:c>
      <x:c r="D10" s="54" t="str">
        <x:v>NULL以外はfloat変換してそのまま判定する。非数値は例外となる。</x:v>
      </x:c>
      <x:c r="E10" s="54" t="str">
        <x:v>誤設定により誤判定または全処理停止。</x:v>
      </x:c>
      <x:c r="F10" s="54" t="str">
        <x:v>未確認</x:v>
      </x:c>
      <x:c r="G10" s="54" t="str">
        <x:v>上流制約とエラー方針を確認</x:v>
      </x:c>
    </x:row>
    <x:row r="11" ht="64" customHeight="1">
      <x:c r="A11" s="66" t="str">
        <x:v>QA-008</x:v>
      </x:c>
      <x:c r="B11" s="54" t="str">
        <x:v>重複</x:v>
      </x:c>
      <x:c r="C11" s="54" t="str">
        <x:v>同一キーの重複行を除外する必要があるか。</x:v>
      </x:c>
      <x:c r="D11" s="54" t="str">
        <x:v>入力DataFrameの各行をそのまま結果へ追加し、重複排除しない。</x:v>
      </x:c>
      <x:c r="E11" s="54" t="str">
        <x:v>QuickSightの件数・集計値が重複する可能性。</x:v>
      </x:c>
      <x:c r="F11" s="54" t="str">
        <x:v>未確認</x:v>
      </x:c>
      <x:c r="G11" s="54" t="str">
        <x:v>SQL側の一意性を確認</x:v>
      </x:c>
    </x:row>
    <x:row r="12" ht="64" customHeight="1">
      <x:c r="A12" s="66" t="str">
        <x:v>QA-009</x:v>
      </x:c>
      <x:c r="B12" s="54" t="str">
        <x:v>平均値</x:v>
      </x:c>
      <x:c r="C12" s="54" t="str">
        <x:v>count_comparison_avgは判定時の元精度と保存時の小数2桁でよいか。</x:v>
      </x:c>
      <x:c r="D12" s="54" t="str">
        <x:v>判定は丸め前の値を使用し、出力時のみround(...,2)する。</x:v>
      </x:c>
      <x:c r="E12" s="54" t="str">
        <x:v>表示値だけでは判定境界を再現できない場合がある。</x:v>
      </x:c>
      <x:c r="F12" s="54" t="str">
        <x:v>未確認</x:v>
      </x:c>
      <x:c r="G12" s="54" t="str">
        <x:v>判定精度・保存精度を確認</x:v>
      </x:c>
    </x:row>
    <x:row r="13" ht="64" customHeight="1">
      <x:c r="A13" s="66" t="str">
        <x:v>QA-010</x:v>
      </x:c>
      <x:c r="B13" s="54" t="str">
        <x:v>型</x:v>
      </x:c>
      <x:c r="C13" s="54" t="str">
        <x:v>execution_dateはdate型限定でよいか。</x:v>
      </x:c>
      <x:c r="D13" s="54" t="str">
        <x:v>datetime型でも計算できるが、period_endがdatetime型となり戻り値型が不統一になる。</x:v>
      </x:c>
      <x:c r="E13" s="54" t="str">
        <x:v>呼出元追加時にDB比較やテストで差異が出る可能性。</x:v>
      </x:c>
      <x:c r="F13" s="54" t="str">
        <x:v>未確認</x:v>
      </x:c>
      <x:c r="G13" s="54" t="str">
        <x:v>型注釈と入力チェックを検討</x:v>
      </x:c>
    </x:row>
    <x:row r="14" ht="64" customHeight="1">
      <x:c r="A14" s="66" t="str">
        <x:v>QA-011</x:v>
      </x:c>
      <x:c r="B14" s="54" t="str">
        <x:v>エラー方針</x:v>
      </x:c>
      <x:c r="C14" s="54" t="str">
        <x:v>process_error_threshold_alertで例外を再送出する仕様でよいか。</x:v>
      </x:c>
      <x:c r="D14" s="54" t="str">
        <x:v>エラーログ後にraiseし、finallyでEndログを出力する。</x:v>
      </x:c>
      <x:c r="E14" s="54" t="str">
        <x:v>上位ジョブが失敗扱いになる。再実行設計と整合が必要。</x:v>
      </x:c>
      <x:c r="F14" s="54" t="str">
        <x:v>未確認</x:v>
      </x:c>
      <x:c r="G14" s="54" t="str">
        <x:v>ジョブ監視・再実行仕様と照合</x:v>
      </x:c>
    </x:row>
  </x:sheetData>
  <x:mergeCells>
    <x:mergeCell ref="A1:G2"/>
  </x:mergeCells>
  <x:conditionalFormatting sqref="F4:F14">
    <x:cfRule type="containsText" dxfId="3" priority="1" operator="containsText" text="未確認"/>
    <x:cfRule type="containsText" dxfId="4" priority="2" operator="containsText" text="確認済"/>
  </x:conditionalFormatting>
  <x:dataValidations count="1">
    <x:dataValidation type="list" sqref="F4:F14">
      <x:formula1>"未確認,確認済,対応不要"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d165abc1d14dc3"/>
  </x:tableParts>
</x:worksheet>
</file>